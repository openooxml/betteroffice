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shboard" sheetId="1" r:id="rId1"/>
    <sheet name="Formulas" sheetId="2" r:id="rId2"/>
    <sheet name="Data" sheetId="3" r:id="rId3"/>
  </sheets>
</workbook>
</file>

<file path=xl/sharedStrings.xml><?xml version="1.0" encoding="utf-8"?>
<sst xmlns="http://schemas.openxmlformats.org/spreadsheetml/2006/main" count="948" uniqueCount="54">
  <si>
    <t xml:space="preserve">Q3 Sales Dashboard</t>
  </si>
  <si>
    <t xml:space="preserve">Fiscal year 2026 — figures in USD</t>
  </si>
  <si>
    <t xml:space="preserve">Region</t>
  </si>
  <si>
    <t xml:space="preserve">Units</t>
  </si>
  <si>
    <t xml:space="preserve">Revenue</t>
  </si>
  <si>
    <t xml:space="preserve">Avg price</t>
  </si>
  <si>
    <t xml:space="preserve">Growth</t>
  </si>
  <si>
    <t xml:space="preserve">Updated</t>
  </si>
  <si>
    <t xml:space="preserve">North</t>
  </si>
  <si>
    <t xml:space="preserve">South</t>
  </si>
  <si>
    <t xml:space="preserve">East</t>
  </si>
  <si>
    <t xml:space="preserve">West</t>
  </si>
  <si>
    <t xml:space="preserve">Total</t>
  </si>
  <si>
    <t xml:space="preserve">Top performer: East — 28% growth on 1,510 units</t>
  </si>
  <si>
    <t xml:space="preserve">Formula playground</t>
  </si>
  <si>
    <t xml:space="preserve">Function</t>
  </si>
  <si>
    <t xml:space="preserve">Result</t>
  </si>
  <si>
    <t xml:space="preserve">Values</t>
  </si>
  <si>
    <t xml:space="preserve">Key</t>
  </si>
  <si>
    <t xml:space="preserve">Value</t>
  </si>
  <si>
    <t xml:space="preserve">SUM</t>
  </si>
  <si>
    <t xml:space="preserve">Alpha</t>
  </si>
  <si>
    <t xml:space="preserve">AVERAGE</t>
  </si>
  <si>
    <t xml:space="preserve">Beta</t>
  </si>
  <si>
    <t xml:space="preserve">MIN</t>
  </si>
  <si>
    <t xml:space="preserve">Gamma</t>
  </si>
  <si>
    <t xml:space="preserve">Northeast</t>
  </si>
  <si>
    <t xml:space="preserve">MAX</t>
  </si>
  <si>
    <t xml:space="preserve">IF</t>
  </si>
  <si>
    <t xml:space="preserve">IFS</t>
  </si>
  <si>
    <t xml:space="preserve">VLOOKUP</t>
  </si>
  <si>
    <t xml:space="preserve">COUNTIF (wildcard)</t>
  </si>
  <si>
    <t xml:space="preserve">Percent of max</t>
  </si>
  <si>
    <t xml:space="preserve">TEXT</t>
  </si>
  <si>
    <t xml:space="preserve">TODAY (volatile)</t>
  </si>
  <si>
    <t xml:space="preserve">End of month</t>
  </si>
  <si>
    <t xml:space="preserve">Date</t>
  </si>
  <si>
    <t xml:space="preserve">Product</t>
  </si>
  <si>
    <t xml:space="preserve">Rep</t>
  </si>
  <si>
    <t xml:space="preserve">Unit price</t>
  </si>
  <si>
    <t xml:space="preserve">Margin</t>
  </si>
  <si>
    <t xml:space="preserve">Bracket</t>
  </si>
  <si>
    <t xml:space="preserve">Blair</t>
  </si>
  <si>
    <t xml:space="preserve">Flange</t>
  </si>
  <si>
    <t xml:space="preserve">Finley</t>
  </si>
  <si>
    <t xml:space="preserve">Gadget</t>
  </si>
  <si>
    <t xml:space="preserve">Casey</t>
  </si>
  <si>
    <t xml:space="preserve">Cog</t>
  </si>
  <si>
    <t xml:space="preserve">Harper</t>
  </si>
  <si>
    <t xml:space="preserve">Sprocket</t>
  </si>
  <si>
    <t xml:space="preserve">Devon</t>
  </si>
  <si>
    <t xml:space="preserve">Emery</t>
  </si>
  <si>
    <t xml:space="preserve">Avery</t>
  </si>
  <si>
    <t xml:space="preserve">Widget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</si>
</sst>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color rgb="FFFFFFFF"/>
      <name val="Calibri"/>
    </font>
    <font>
      <sz val="10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4" tint="0.5999938962981048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10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/>
    <xf numFmtId="0" fontId="2" fillId="3" borderId="0" xfId="0" applyFont="1" applyFill="1" applyAlignment="1">
      <alignment horizontal="left" vertical="center"/>
    </xf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cat>
            <c:strRef>
              <c:f>Dashboard!$A$5:$A$8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Dashboard!$C$5:$C$8</c:f>
              <c:numCache>
                <c:formatCode>"$"#,##0.00</c:formatCode>
                <c:ptCount val="4"/>
                <c:pt idx="0">
                  <c:v>386400</c:v>
                </c:pt>
                <c:pt idx="1">
                  <c:v>274850</c:v>
                </c:pt>
                <c:pt idx="2">
                  <c:v>512300</c:v>
                </c:pt>
                <c:pt idx="3">
                  <c:v>331200</c:v>
                </c:pt>
              </c:numCache>
            </c:numRef>
          </c:val>
        </c:ser>
        <c:gapWidth val="150"/>
        <c:axId val="553771648"/>
        <c:axId val="553773184"/>
      </c:barChart>
      <c:catAx>
        <c:axId val="553771648"/>
        <c:scaling>
          <c:orientation val="minMax"/>
        </c:scaling>
        <c:delete val="0"/>
        <c:axPos val="b"/>
        <c:majorTickMark val="none"/>
        <c:minorTickMark val="none"/>
        <c:tickLblPos val="nextTo"/>
        <c:crossAx val="553773184"/>
        <c:crosses val="autoZero"/>
        <c:auto val="1"/>
        <c:lblAlgn val="ctr"/>
        <c:lblOffset val="100"/>
        <c:noMultiLvlLbl val="0"/>
      </c:catAx>
      <c:valAx>
        <c:axId val="553773184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crossAx val="553771648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Revenue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cols>
    <col min="1" max="1" width="16" customWidth="1"/>
    <col min="2" max="2" width="10" customWidth="1"/>
    <col min="3" max="4" width="14" customWidth="1"/>
    <col min="5" max="5" width="10" customWidth="1"/>
    <col min="6" max="6" width="12" customWidth="1"/>
  </cols>
  <sheetData>
    <row r="1" ht="30" customHeight="1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</row>
    <row r="5">
      <c r="A5" t="s">
        <v>8</v>
      </c>
      <c r="B5">
        <v>1240</v>
      </c>
      <c r="C5" s="4">
        <v>386400</v>
      </c>
      <c r="D5" s="4">
        <f>C5/B5</f>
      </c>
      <c r="E5" s="6">
        <v>0.182</v>
      </c>
      <c r="F5" s="5">
        <v>46203</v>
      </c>
    </row>
    <row r="6">
      <c r="A6" t="s">
        <v>9</v>
      </c>
      <c r="B6">
        <v>980</v>
      </c>
      <c r="C6" s="4">
        <v>274850</v>
      </c>
      <c r="D6" s="4">
        <f>C6/B6</f>
      </c>
      <c r="E6" s="6">
        <v>0.064</v>
      </c>
      <c r="F6" s="5">
        <v>46203</v>
      </c>
    </row>
    <row r="7">
      <c r="A7" t="s">
        <v>10</v>
      </c>
      <c r="B7">
        <v>1510</v>
      </c>
      <c r="C7" s="4">
        <v>512300</v>
      </c>
      <c r="D7" s="4">
        <f>C7/B7</f>
      </c>
      <c r="E7" s="6">
        <v>0.281</v>
      </c>
      <c r="F7" s="5">
        <v>46203</v>
      </c>
    </row>
    <row r="8">
      <c r="A8" t="s">
        <v>11</v>
      </c>
      <c r="B8">
        <v>1125</v>
      </c>
      <c r="C8" s="4">
        <v>331200</v>
      </c>
      <c r="D8" s="4">
        <f>C8/B8</f>
      </c>
      <c r="E8" s="6">
        <v>-0.043</v>
      </c>
      <c r="F8" s="5">
        <v>46203</v>
      </c>
    </row>
    <row r="9">
      <c r="A9" t="s" s="7">
        <v>12</v>
      </c>
      <c r="B9" s="9">
        <f>SUM(B5:B8)</f>
      </c>
      <c r="C9" s="8">
        <f>SUM(C5:C8)</f>
      </c>
      <c r="D9" s="8">
        <f>C9/B9</f>
      </c>
      <c r="E9" s="9"/>
      <c r="F9" s="9"/>
    </row>
    <row r="11">
      <c r="A11" t="s" s="10">
        <v>13</v>
      </c>
      <c r="B11" s="10"/>
      <c r="C11" s="10"/>
      <c r="D11" s="10"/>
      <c r="E11" s="10"/>
      <c r="F11" s="10"/>
    </row>
  </sheetData>
  <mergeCells count="3">
    <mergeCell ref="A1:F1"/>
    <mergeCell ref="A2:F2"/>
    <mergeCell ref="A11:F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cols>
    <col min="1" max="1" width="20" customWidth="1"/>
    <col min="2" max="2" width="20" customWidth="1"/>
    <col min="5" max="5" width="10" customWidth="1"/>
    <col min="8" max="9" width="12" customWidth="1"/>
    <col min="11" max="11" width="12" customWidth="1"/>
  </cols>
  <sheetData>
    <row r="1" ht="30" customHeight="1">
      <c r="A1" t="s" s="1">
        <v>14</v>
      </c>
    </row>
    <row r="2">
      <c r="A2" t="s" s="3">
        <v>15</v>
      </c>
      <c r="B2" t="s" s="3">
        <v>16</v>
      </c>
      <c r="E2" t="s" s="3">
        <v>17</v>
      </c>
      <c r="H2" t="s" s="3">
        <v>18</v>
      </c>
      <c r="I2" t="s" s="3">
        <v>19</v>
      </c>
      <c r="K2" t="s" s="3">
        <v>2</v>
      </c>
    </row>
    <row r="3">
      <c r="A3" t="s" s="11">
        <v>20</v>
      </c>
      <c r="B3">
        <f>SUM(E3:E7)</f>
      </c>
      <c r="E3">
        <v>12</v>
      </c>
      <c r="H3" t="s">
        <v>21</v>
      </c>
      <c r="I3">
        <v>100</v>
      </c>
      <c r="K3" t="s">
        <v>8</v>
      </c>
    </row>
    <row r="4">
      <c r="A4" t="s" s="11">
        <v>22</v>
      </c>
      <c r="B4">
        <f>AVERAGE(E3:E7)</f>
      </c>
      <c r="E4">
        <v>47</v>
      </c>
      <c r="H4" t="s">
        <v>23</v>
      </c>
      <c r="I4">
        <v>200</v>
      </c>
      <c r="K4" t="s">
        <v>9</v>
      </c>
    </row>
    <row r="5">
      <c r="A5" t="s" s="11">
        <v>24</v>
      </c>
      <c r="B5">
        <f>MIN(E3:E7)</f>
      </c>
      <c r="E5">
        <v>8</v>
      </c>
      <c r="H5" t="s">
        <v>25</v>
      </c>
      <c r="I5">
        <v>300</v>
      </c>
      <c r="K5" t="s">
        <v>26</v>
      </c>
    </row>
    <row r="6">
      <c r="A6" t="s" s="11">
        <v>27</v>
      </c>
      <c r="B6">
        <f>MAX(E3:E7)</f>
      </c>
      <c r="E6">
        <v>33</v>
      </c>
      <c r="K6" t="s">
        <v>11</v>
      </c>
    </row>
    <row r="7">
      <c r="A7" t="s" s="11">
        <v>28</v>
      </c>
      <c r="B7">
        <f>IF(B3&gt;100,"Over budget","Within budget")</f>
      </c>
      <c r="E7">
        <v>21</v>
      </c>
    </row>
    <row r="8">
      <c r="A8" t="s" s="11">
        <v>29</v>
      </c>
      <c r="B8">
        <f>IFS(B4&gt;=40,"High",B4&gt;=20,"Medium",TRUE,"Low")</f>
      </c>
    </row>
    <row r="9">
      <c r="A9" t="s" s="11">
        <v>30</v>
      </c>
      <c r="B9">
        <f>VLOOKUP("Gamma",H3:I5,2,FALSE)</f>
      </c>
    </row>
    <row r="10">
      <c r="A10" t="s" s="11">
        <v>31</v>
      </c>
      <c r="B10">
        <f>COUNTIF(K3:K6,"North*")</f>
      </c>
    </row>
    <row r="11">
      <c r="A11" t="s" s="11">
        <v>32</v>
      </c>
      <c r="B11" s="6">
        <f>B4/B6</f>
      </c>
    </row>
    <row r="12">
      <c r="A12" t="s" s="11">
        <v>33</v>
      </c>
      <c r="B12">
        <f>TEXT(B4,"#,##0.00")</f>
      </c>
    </row>
    <row r="13">
      <c r="A13" t="s" s="11">
        <v>34</v>
      </c>
      <c r="B13" s="5">
        <f>TODAY()</f>
      </c>
    </row>
    <row r="14">
      <c r="A14" t="s" s="11">
        <v>35</v>
      </c>
      <c r="B14" s="5">
        <f>EOMONTH(TODAY(),0)</f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1"/>
  <cols>
    <col min="1" max="1" width="12" customWidth="1"/>
    <col min="2" max="4" width="12" customWidth="1"/>
    <col min="5" max="5" width="9" customWidth="1"/>
    <col min="6" max="7" width="13" customWidth="1"/>
    <col min="8" max="8" width="10" customWidth="1"/>
  </cols>
  <sheetData>
    <row r="1">
      <c r="A1" t="s" s="3">
        <v>36</v>
      </c>
      <c r="B1" t="s" s="3">
        <v>2</v>
      </c>
      <c r="C1" t="s" s="3">
        <v>37</v>
      </c>
      <c r="D1" t="s" s="3">
        <v>38</v>
      </c>
      <c r="E1" t="s" s="3">
        <v>3</v>
      </c>
      <c r="F1" t="s" s="3">
        <v>39</v>
      </c>
      <c r="G1" t="s" s="3">
        <v>4</v>
      </c>
      <c r="H1" t="s" s="3">
        <v>40</v>
      </c>
    </row>
    <row r="2">
      <c r="A2" s="5">
        <v>45658</v>
      </c>
      <c r="B2" t="s">
        <v>9</v>
      </c>
      <c r="C2" t="s">
        <v>41</v>
      </c>
      <c r="D2" t="s">
        <v>42</v>
      </c>
      <c r="E2">
        <v>201</v>
      </c>
      <c r="F2" s="4">
        <v>9.86</v>
      </c>
      <c r="G2" s="4">
        <f>E2*F2</f>
      </c>
      <c r="H2" s="6">
        <v>0.401</v>
      </c>
    </row>
    <row r="3">
      <c r="A3" s="5">
        <v>45659</v>
      </c>
      <c r="B3" t="s">
        <v>8</v>
      </c>
      <c r="C3" t="s">
        <v>43</v>
      </c>
      <c r="D3" t="s">
        <v>44</v>
      </c>
      <c r="E3">
        <v>80</v>
      </c>
      <c r="F3" s="4">
        <v>89.19</v>
      </c>
      <c r="G3" s="4">
        <f>E3*F3</f>
      </c>
      <c r="H3" s="6">
        <v>0.164</v>
      </c>
    </row>
    <row r="4">
      <c r="A4" s="5">
        <v>45660</v>
      </c>
      <c r="B4" t="s">
        <v>9</v>
      </c>
      <c r="C4" t="s">
        <v>45</v>
      </c>
      <c r="D4" t="s">
        <v>46</v>
      </c>
      <c r="E4">
        <v>124</v>
      </c>
      <c r="F4" s="4">
        <v>32.06</v>
      </c>
      <c r="G4" s="4">
        <f>E4*F4</f>
      </c>
      <c r="H4" s="6">
        <v>0.159</v>
      </c>
    </row>
    <row r="5">
      <c r="A5" s="5">
        <v>45661</v>
      </c>
      <c r="B5" t="s">
        <v>10</v>
      </c>
      <c r="C5" t="s">
        <v>47</v>
      </c>
      <c r="D5" t="s">
        <v>48</v>
      </c>
      <c r="E5">
        <v>57</v>
      </c>
      <c r="F5" s="4">
        <v>84.06</v>
      </c>
      <c r="G5" s="4">
        <f>E5*F5</f>
      </c>
      <c r="H5" s="6">
        <v>0.223</v>
      </c>
    </row>
    <row r="6">
      <c r="A6" s="5">
        <v>45662</v>
      </c>
      <c r="B6" t="s">
        <v>11</v>
      </c>
      <c r="C6" t="s">
        <v>43</v>
      </c>
      <c r="D6" t="s">
        <v>48</v>
      </c>
      <c r="E6">
        <v>26</v>
      </c>
      <c r="F6" s="4">
        <v>97.3</v>
      </c>
      <c r="G6" s="4">
        <f>E6*F6</f>
      </c>
      <c r="H6" s="6">
        <v>0.222</v>
      </c>
    </row>
    <row r="7">
      <c r="A7" s="5">
        <v>45663</v>
      </c>
      <c r="B7" t="s">
        <v>8</v>
      </c>
      <c r="C7" t="s">
        <v>47</v>
      </c>
      <c r="D7" t="s">
        <v>44</v>
      </c>
      <c r="E7">
        <v>146</v>
      </c>
      <c r="F7" s="4">
        <v>18.98</v>
      </c>
      <c r="G7" s="4">
        <f>E7*F7</f>
      </c>
      <c r="H7" s="6">
        <v>0.348</v>
      </c>
    </row>
    <row r="8">
      <c r="A8" s="5">
        <v>45664</v>
      </c>
      <c r="B8" t="s">
        <v>9</v>
      </c>
      <c r="C8" t="s">
        <v>49</v>
      </c>
      <c r="D8" t="s">
        <v>50</v>
      </c>
      <c r="E8">
        <v>93</v>
      </c>
      <c r="F8" s="4">
        <v>73.34</v>
      </c>
      <c r="G8" s="4">
        <f>E8*F8</f>
      </c>
      <c r="H8" s="6">
        <v>0.385</v>
      </c>
    </row>
    <row r="9">
      <c r="A9" s="5">
        <v>45665</v>
      </c>
      <c r="B9" t="s">
        <v>11</v>
      </c>
      <c r="C9" t="s">
        <v>47</v>
      </c>
      <c r="D9" t="s">
        <v>50</v>
      </c>
      <c r="E9">
        <v>58</v>
      </c>
      <c r="F9" s="4">
        <v>12.9</v>
      </c>
      <c r="G9" s="4">
        <f>E9*F9</f>
      </c>
      <c r="H9" s="6">
        <v>0.429</v>
      </c>
    </row>
    <row r="10">
      <c r="A10" s="5">
        <v>45666</v>
      </c>
      <c r="B10" t="s">
        <v>9</v>
      </c>
      <c r="C10" t="s">
        <v>47</v>
      </c>
      <c r="D10" t="s">
        <v>46</v>
      </c>
      <c r="E10">
        <v>29</v>
      </c>
      <c r="F10" s="4">
        <v>33.21</v>
      </c>
      <c r="G10" s="4">
        <f>E10*F10</f>
      </c>
      <c r="H10" s="6">
        <v>0.218</v>
      </c>
    </row>
    <row r="11">
      <c r="A11" s="5">
        <v>45667</v>
      </c>
      <c r="B11" t="s">
        <v>11</v>
      </c>
      <c r="C11" t="s">
        <v>45</v>
      </c>
      <c r="D11" t="s">
        <v>51</v>
      </c>
      <c r="E11">
        <v>187</v>
      </c>
      <c r="F11" s="4">
        <v>67.34</v>
      </c>
      <c r="G11" s="4">
        <f>E11*F11</f>
      </c>
      <c r="H11" s="6">
        <v>0.425</v>
      </c>
    </row>
    <row r="12">
      <c r="A12" s="5">
        <v>45668</v>
      </c>
      <c r="B12" t="s">
        <v>8</v>
      </c>
      <c r="C12" t="s">
        <v>41</v>
      </c>
      <c r="D12" t="s">
        <v>51</v>
      </c>
      <c r="E12">
        <v>100</v>
      </c>
      <c r="F12" s="4">
        <v>14.46</v>
      </c>
      <c r="G12" s="4">
        <f>E12*F12</f>
      </c>
      <c r="H12" s="6">
        <v>0.315</v>
      </c>
    </row>
    <row r="13">
      <c r="A13" s="5">
        <v>45669</v>
      </c>
      <c r="B13" t="s">
        <v>9</v>
      </c>
      <c r="C13" t="s">
        <v>49</v>
      </c>
      <c r="D13" t="s">
        <v>52</v>
      </c>
      <c r="E13">
        <v>13</v>
      </c>
      <c r="F13" s="4">
        <v>22.04</v>
      </c>
      <c r="G13" s="4">
        <f>E13*F13</f>
      </c>
      <c r="H13" s="6">
        <v>0.407</v>
      </c>
    </row>
    <row r="14">
      <c r="A14" s="5">
        <v>45670</v>
      </c>
      <c r="B14" t="s">
        <v>9</v>
      </c>
      <c r="C14" t="s">
        <v>43</v>
      </c>
      <c r="D14" t="s">
        <v>50</v>
      </c>
      <c r="E14">
        <v>34</v>
      </c>
      <c r="F14" s="4">
        <v>77.93</v>
      </c>
      <c r="G14" s="4">
        <f>E14*F14</f>
      </c>
      <c r="H14" s="6">
        <v>0.297</v>
      </c>
    </row>
    <row r="15">
      <c r="A15" s="5">
        <v>45671</v>
      </c>
      <c r="B15" t="s">
        <v>8</v>
      </c>
      <c r="C15" t="s">
        <v>53</v>
      </c>
      <c r="D15" t="s">
        <v>46</v>
      </c>
      <c r="E15">
        <v>122</v>
      </c>
      <c r="F15" s="4">
        <v>78.33</v>
      </c>
      <c r="G15" s="4">
        <f>E15*F15</f>
      </c>
      <c r="H15" s="6">
        <v>0.128</v>
      </c>
    </row>
    <row r="16">
      <c r="A16" s="5">
        <v>45672</v>
      </c>
      <c r="B16" t="s">
        <v>9</v>
      </c>
      <c r="C16" t="s">
        <v>49</v>
      </c>
      <c r="D16" t="s">
        <v>50</v>
      </c>
      <c r="E16">
        <v>85</v>
      </c>
      <c r="F16" s="4">
        <v>73.83</v>
      </c>
      <c r="G16" s="4">
        <f>E16*F16</f>
      </c>
      <c r="H16" s="6">
        <v>0.091</v>
      </c>
    </row>
    <row r="17">
      <c r="A17" s="5">
        <v>45673</v>
      </c>
      <c r="B17" t="s">
        <v>11</v>
      </c>
      <c r="C17" t="s">
        <v>41</v>
      </c>
      <c r="D17" t="s">
        <v>48</v>
      </c>
      <c r="E17">
        <v>79</v>
      </c>
      <c r="F17" s="4">
        <v>67.9</v>
      </c>
      <c r="G17" s="4">
        <f>E17*F17</f>
      </c>
      <c r="H17" s="6">
        <v>0.273</v>
      </c>
    </row>
    <row r="18">
      <c r="A18" s="5">
        <v>45674</v>
      </c>
      <c r="B18" t="s">
        <v>8</v>
      </c>
      <c r="C18" t="s">
        <v>41</v>
      </c>
      <c r="D18" t="s">
        <v>52</v>
      </c>
      <c r="E18">
        <v>73</v>
      </c>
      <c r="F18" s="4">
        <v>87.37</v>
      </c>
      <c r="G18" s="4">
        <f>E18*F18</f>
      </c>
      <c r="H18" s="6">
        <v>0.108</v>
      </c>
    </row>
    <row r="19">
      <c r="A19" s="5">
        <v>45675</v>
      </c>
      <c r="B19" t="s">
        <v>11</v>
      </c>
      <c r="C19" t="s">
        <v>53</v>
      </c>
      <c r="D19" t="s">
        <v>48</v>
      </c>
      <c r="E19">
        <v>107</v>
      </c>
      <c r="F19" s="4">
        <v>49.76</v>
      </c>
      <c r="G19" s="4">
        <f>E19*F19</f>
      </c>
      <c r="H19" s="6">
        <v>0.31</v>
      </c>
    </row>
    <row r="20">
      <c r="A20" s="5">
        <v>45676</v>
      </c>
      <c r="B20" t="s">
        <v>10</v>
      </c>
      <c r="C20" t="s">
        <v>41</v>
      </c>
      <c r="D20" t="s">
        <v>46</v>
      </c>
      <c r="E20">
        <v>107</v>
      </c>
      <c r="F20" s="4">
        <v>78</v>
      </c>
      <c r="G20" s="4">
        <f>E20*F20</f>
      </c>
      <c r="H20" s="6">
        <v>0.382</v>
      </c>
    </row>
    <row r="21">
      <c r="A21" s="5">
        <v>45677</v>
      </c>
      <c r="B21" t="s">
        <v>10</v>
      </c>
      <c r="C21" t="s">
        <v>45</v>
      </c>
      <c r="D21" t="s">
        <v>42</v>
      </c>
      <c r="E21">
        <v>36</v>
      </c>
      <c r="F21" s="4">
        <v>52.5</v>
      </c>
      <c r="G21" s="4">
        <f>E21*F21</f>
      </c>
      <c r="H21" s="6">
        <v>0.121</v>
      </c>
    </row>
    <row r="22">
      <c r="A22" s="5">
        <v>45678</v>
      </c>
      <c r="B22" t="s">
        <v>11</v>
      </c>
      <c r="C22" t="s">
        <v>45</v>
      </c>
      <c r="D22" t="s">
        <v>46</v>
      </c>
      <c r="E22">
        <v>54</v>
      </c>
      <c r="F22" s="4">
        <v>19.32</v>
      </c>
      <c r="G22" s="4">
        <f>E22*F22</f>
      </c>
      <c r="H22" s="6">
        <v>0.186</v>
      </c>
    </row>
    <row r="23">
      <c r="A23" s="5">
        <v>45679</v>
      </c>
      <c r="B23" t="s">
        <v>8</v>
      </c>
      <c r="C23" t="s">
        <v>41</v>
      </c>
      <c r="D23" t="s">
        <v>42</v>
      </c>
      <c r="E23">
        <v>137</v>
      </c>
      <c r="F23" s="4">
        <v>12.8</v>
      </c>
      <c r="G23" s="4">
        <f>E23*F23</f>
      </c>
      <c r="H23" s="6">
        <v>0.191</v>
      </c>
    </row>
    <row r="24">
      <c r="A24" s="5">
        <v>45680</v>
      </c>
      <c r="B24" t="s">
        <v>9</v>
      </c>
      <c r="C24" t="s">
        <v>49</v>
      </c>
      <c r="D24" t="s">
        <v>50</v>
      </c>
      <c r="E24">
        <v>108</v>
      </c>
      <c r="F24" s="4">
        <v>38.73</v>
      </c>
      <c r="G24" s="4">
        <f>E24*F24</f>
      </c>
      <c r="H24" s="6">
        <v>0.449</v>
      </c>
    </row>
    <row r="25">
      <c r="A25" s="5">
        <v>45681</v>
      </c>
      <c r="B25" t="s">
        <v>9</v>
      </c>
      <c r="C25" t="s">
        <v>47</v>
      </c>
      <c r="D25" t="s">
        <v>50</v>
      </c>
      <c r="E25">
        <v>108</v>
      </c>
      <c r="F25" s="4">
        <v>80.09</v>
      </c>
      <c r="G25" s="4">
        <f>E25*F25</f>
      </c>
      <c r="H25" s="6">
        <v>0.239</v>
      </c>
    </row>
    <row r="26">
      <c r="A26" s="5">
        <v>45682</v>
      </c>
      <c r="B26" t="s">
        <v>9</v>
      </c>
      <c r="C26" t="s">
        <v>45</v>
      </c>
      <c r="D26" t="s">
        <v>42</v>
      </c>
      <c r="E26">
        <v>9</v>
      </c>
      <c r="F26" s="4">
        <v>14.63</v>
      </c>
      <c r="G26" s="4">
        <f>E26*F26</f>
      </c>
      <c r="H26" s="6">
        <v>0.364</v>
      </c>
    </row>
    <row r="27">
      <c r="A27" s="5">
        <v>45683</v>
      </c>
      <c r="B27" t="s">
        <v>10</v>
      </c>
      <c r="C27" t="s">
        <v>43</v>
      </c>
      <c r="D27" t="s">
        <v>50</v>
      </c>
      <c r="E27">
        <v>7</v>
      </c>
      <c r="F27" s="4">
        <v>60.03</v>
      </c>
      <c r="G27" s="4">
        <f>E27*F27</f>
      </c>
      <c r="H27" s="6">
        <v>0.165</v>
      </c>
    </row>
    <row r="28">
      <c r="A28" s="5">
        <v>45684</v>
      </c>
      <c r="B28" t="s">
        <v>11</v>
      </c>
      <c r="C28" t="s">
        <v>43</v>
      </c>
      <c r="D28" t="s">
        <v>48</v>
      </c>
      <c r="E28">
        <v>156</v>
      </c>
      <c r="F28" s="4">
        <v>35.37</v>
      </c>
      <c r="G28" s="4">
        <f>E28*F28</f>
      </c>
      <c r="H28" s="6">
        <v>0.263</v>
      </c>
    </row>
    <row r="29">
      <c r="A29" s="5">
        <v>45685</v>
      </c>
      <c r="B29" t="s">
        <v>8</v>
      </c>
      <c r="C29" t="s">
        <v>53</v>
      </c>
      <c r="D29" t="s">
        <v>51</v>
      </c>
      <c r="E29">
        <v>36</v>
      </c>
      <c r="F29" s="4">
        <v>55.94</v>
      </c>
      <c r="G29" s="4">
        <f>E29*F29</f>
      </c>
      <c r="H29" s="6">
        <v>0.141</v>
      </c>
    </row>
    <row r="30">
      <c r="A30" s="5">
        <v>45686</v>
      </c>
      <c r="B30" t="s">
        <v>11</v>
      </c>
      <c r="C30" t="s">
        <v>49</v>
      </c>
      <c r="D30" t="s">
        <v>42</v>
      </c>
      <c r="E30">
        <v>41</v>
      </c>
      <c r="F30" s="4">
        <v>40.63</v>
      </c>
      <c r="G30" s="4">
        <f>E30*F30</f>
      </c>
      <c r="H30" s="6">
        <v>0.345</v>
      </c>
    </row>
    <row r="31">
      <c r="A31" s="5">
        <v>45687</v>
      </c>
      <c r="B31" t="s">
        <v>8</v>
      </c>
      <c r="C31" t="s">
        <v>49</v>
      </c>
      <c r="D31" t="s">
        <v>48</v>
      </c>
      <c r="E31">
        <v>169</v>
      </c>
      <c r="F31" s="4">
        <v>49.95</v>
      </c>
      <c r="G31" s="4">
        <f>E31*F31</f>
      </c>
      <c r="H31" s="6">
        <v>0.147</v>
      </c>
    </row>
    <row r="32">
      <c r="A32" s="5">
        <v>45688</v>
      </c>
      <c r="B32" t="s">
        <v>9</v>
      </c>
      <c r="C32" t="s">
        <v>49</v>
      </c>
      <c r="D32" t="s">
        <v>50</v>
      </c>
      <c r="E32">
        <v>126</v>
      </c>
      <c r="F32" s="4">
        <v>55.79</v>
      </c>
      <c r="G32" s="4">
        <f>E32*F32</f>
      </c>
      <c r="H32" s="6">
        <v>0.166</v>
      </c>
    </row>
    <row r="33">
      <c r="A33" s="5">
        <v>45689</v>
      </c>
      <c r="B33" t="s">
        <v>10</v>
      </c>
      <c r="C33" t="s">
        <v>53</v>
      </c>
      <c r="D33" t="s">
        <v>52</v>
      </c>
      <c r="E33">
        <v>78</v>
      </c>
      <c r="F33" s="4">
        <v>42.42</v>
      </c>
      <c r="G33" s="4">
        <f>E33*F33</f>
      </c>
      <c r="H33" s="6">
        <v>0.295</v>
      </c>
    </row>
    <row r="34">
      <c r="A34" s="5">
        <v>45690</v>
      </c>
      <c r="B34" t="s">
        <v>9</v>
      </c>
      <c r="C34" t="s">
        <v>53</v>
      </c>
      <c r="D34" t="s">
        <v>50</v>
      </c>
      <c r="E34">
        <v>121</v>
      </c>
      <c r="F34" s="4">
        <v>20.24</v>
      </c>
      <c r="G34" s="4">
        <f>E34*F34</f>
      </c>
      <c r="H34" s="6">
        <v>0.331</v>
      </c>
    </row>
    <row r="35">
      <c r="A35" s="5">
        <v>45691</v>
      </c>
      <c r="B35" t="s">
        <v>9</v>
      </c>
      <c r="C35" t="s">
        <v>49</v>
      </c>
      <c r="D35" t="s">
        <v>51</v>
      </c>
      <c r="E35">
        <v>39</v>
      </c>
      <c r="F35" s="4">
        <v>27.93</v>
      </c>
      <c r="G35" s="4">
        <f>E35*F35</f>
      </c>
      <c r="H35" s="6">
        <v>0.376</v>
      </c>
    </row>
    <row r="36">
      <c r="A36" s="5">
        <v>45692</v>
      </c>
      <c r="B36" t="s">
        <v>11</v>
      </c>
      <c r="C36" t="s">
        <v>49</v>
      </c>
      <c r="D36" t="s">
        <v>42</v>
      </c>
      <c r="E36">
        <v>34</v>
      </c>
      <c r="F36" s="4">
        <v>53.02</v>
      </c>
      <c r="G36" s="4">
        <f>E36*F36</f>
      </c>
      <c r="H36" s="6">
        <v>0.33</v>
      </c>
    </row>
    <row r="37">
      <c r="A37" s="5">
        <v>45693</v>
      </c>
      <c r="B37" t="s">
        <v>9</v>
      </c>
      <c r="C37" t="s">
        <v>43</v>
      </c>
      <c r="D37" t="s">
        <v>51</v>
      </c>
      <c r="E37">
        <v>78</v>
      </c>
      <c r="F37" s="4">
        <v>58.47</v>
      </c>
      <c r="G37" s="4">
        <f>E37*F37</f>
      </c>
      <c r="H37" s="6">
        <v>0.389</v>
      </c>
    </row>
    <row r="38">
      <c r="A38" s="5">
        <v>45694</v>
      </c>
      <c r="B38" t="s">
        <v>8</v>
      </c>
      <c r="C38" t="s">
        <v>47</v>
      </c>
      <c r="D38" t="s">
        <v>46</v>
      </c>
      <c r="E38">
        <v>18</v>
      </c>
      <c r="F38" s="4">
        <v>24.26</v>
      </c>
      <c r="G38" s="4">
        <f>E38*F38</f>
      </c>
      <c r="H38" s="6">
        <v>0.378</v>
      </c>
    </row>
    <row r="39">
      <c r="A39" s="5">
        <v>45695</v>
      </c>
      <c r="B39" t="s">
        <v>8</v>
      </c>
      <c r="C39" t="s">
        <v>41</v>
      </c>
      <c r="D39" t="s">
        <v>44</v>
      </c>
      <c r="E39">
        <v>172</v>
      </c>
      <c r="F39" s="4">
        <v>26.01</v>
      </c>
      <c r="G39" s="4">
        <f>E39*F39</f>
      </c>
      <c r="H39" s="6">
        <v>0.097</v>
      </c>
    </row>
    <row r="40">
      <c r="A40" s="5">
        <v>45696</v>
      </c>
      <c r="B40" t="s">
        <v>9</v>
      </c>
      <c r="C40" t="s">
        <v>47</v>
      </c>
      <c r="D40" t="s">
        <v>48</v>
      </c>
      <c r="E40">
        <v>178</v>
      </c>
      <c r="F40" s="4">
        <v>90.65</v>
      </c>
      <c r="G40" s="4">
        <f>E40*F40</f>
      </c>
      <c r="H40" s="6">
        <v>0.257</v>
      </c>
    </row>
    <row r="41">
      <c r="A41" s="5">
        <v>45697</v>
      </c>
      <c r="B41" t="s">
        <v>9</v>
      </c>
      <c r="C41" t="s">
        <v>41</v>
      </c>
      <c r="D41" t="s">
        <v>51</v>
      </c>
      <c r="E41">
        <v>170</v>
      </c>
      <c r="F41" s="4">
        <v>9.84</v>
      </c>
      <c r="G41" s="4">
        <f>E41*F41</f>
      </c>
      <c r="H41" s="6">
        <v>0.175</v>
      </c>
    </row>
    <row r="42">
      <c r="A42" s="5">
        <v>45698</v>
      </c>
      <c r="B42" t="s">
        <v>9</v>
      </c>
      <c r="C42" t="s">
        <v>41</v>
      </c>
      <c r="D42" t="s">
        <v>42</v>
      </c>
      <c r="E42">
        <v>135</v>
      </c>
      <c r="F42" s="4">
        <v>65.44</v>
      </c>
      <c r="G42" s="4">
        <f>E42*F42</f>
      </c>
      <c r="H42" s="6">
        <v>0.18</v>
      </c>
    </row>
    <row r="43">
      <c r="A43" s="5">
        <v>45699</v>
      </c>
      <c r="B43" t="s">
        <v>8</v>
      </c>
      <c r="C43" t="s">
        <v>41</v>
      </c>
      <c r="D43" t="s">
        <v>46</v>
      </c>
      <c r="E43">
        <v>29</v>
      </c>
      <c r="F43" s="4">
        <v>47.02</v>
      </c>
      <c r="G43" s="4">
        <f>E43*F43</f>
      </c>
      <c r="H43" s="6">
        <v>0.409</v>
      </c>
    </row>
    <row r="44">
      <c r="A44" s="5">
        <v>45700</v>
      </c>
      <c r="B44" t="s">
        <v>9</v>
      </c>
      <c r="C44" t="s">
        <v>45</v>
      </c>
      <c r="D44" t="s">
        <v>44</v>
      </c>
      <c r="E44">
        <v>123</v>
      </c>
      <c r="F44" s="4">
        <v>34.4</v>
      </c>
      <c r="G44" s="4">
        <f>E44*F44</f>
      </c>
      <c r="H44" s="6">
        <v>0.207</v>
      </c>
    </row>
    <row r="45">
      <c r="A45" s="5">
        <v>45701</v>
      </c>
      <c r="B45" t="s">
        <v>8</v>
      </c>
      <c r="C45" t="s">
        <v>43</v>
      </c>
      <c r="D45" t="s">
        <v>50</v>
      </c>
      <c r="E45">
        <v>201</v>
      </c>
      <c r="F45" s="4">
        <v>46.33</v>
      </c>
      <c r="G45" s="4">
        <f>E45*F45</f>
      </c>
      <c r="H45" s="6">
        <v>0.238</v>
      </c>
    </row>
    <row r="46">
      <c r="A46" s="5">
        <v>45702</v>
      </c>
      <c r="B46" t="s">
        <v>11</v>
      </c>
      <c r="C46" t="s">
        <v>49</v>
      </c>
      <c r="D46" t="s">
        <v>48</v>
      </c>
      <c r="E46">
        <v>82</v>
      </c>
      <c r="F46" s="4">
        <v>31.7</v>
      </c>
      <c r="G46" s="4">
        <f>E46*F46</f>
      </c>
      <c r="H46" s="6">
        <v>0.303</v>
      </c>
    </row>
    <row r="47">
      <c r="A47" s="5">
        <v>45703</v>
      </c>
      <c r="B47" t="s">
        <v>9</v>
      </c>
      <c r="C47" t="s">
        <v>45</v>
      </c>
      <c r="D47" t="s">
        <v>50</v>
      </c>
      <c r="E47">
        <v>201</v>
      </c>
      <c r="F47" s="4">
        <v>21.65</v>
      </c>
      <c r="G47" s="4">
        <f>E47*F47</f>
      </c>
      <c r="H47" s="6">
        <v>0.357</v>
      </c>
    </row>
    <row r="48">
      <c r="A48" s="5">
        <v>45704</v>
      </c>
      <c r="B48" t="s">
        <v>8</v>
      </c>
      <c r="C48" t="s">
        <v>43</v>
      </c>
      <c r="D48" t="s">
        <v>48</v>
      </c>
      <c r="E48">
        <v>159</v>
      </c>
      <c r="F48" s="4">
        <v>75.33</v>
      </c>
      <c r="G48" s="4">
        <f>E48*F48</f>
      </c>
      <c r="H48" s="6">
        <v>0.219</v>
      </c>
    </row>
    <row r="49">
      <c r="A49" s="5">
        <v>45705</v>
      </c>
      <c r="B49" t="s">
        <v>11</v>
      </c>
      <c r="C49" t="s">
        <v>47</v>
      </c>
      <c r="D49" t="s">
        <v>42</v>
      </c>
      <c r="E49">
        <v>184</v>
      </c>
      <c r="F49" s="4">
        <v>11.47</v>
      </c>
      <c r="G49" s="4">
        <f>E49*F49</f>
      </c>
      <c r="H49" s="6">
        <v>0.159</v>
      </c>
    </row>
    <row r="50">
      <c r="A50" s="5">
        <v>45706</v>
      </c>
      <c r="B50" t="s">
        <v>11</v>
      </c>
      <c r="C50" t="s">
        <v>43</v>
      </c>
      <c r="D50" t="s">
        <v>46</v>
      </c>
      <c r="E50">
        <v>110</v>
      </c>
      <c r="F50" s="4">
        <v>72.06</v>
      </c>
      <c r="G50" s="4">
        <f>E50*F50</f>
      </c>
      <c r="H50" s="6">
        <v>0.459</v>
      </c>
    </row>
    <row r="51">
      <c r="A51" s="5">
        <v>45707</v>
      </c>
      <c r="B51" t="s">
        <v>10</v>
      </c>
      <c r="C51" t="s">
        <v>45</v>
      </c>
      <c r="D51" t="s">
        <v>42</v>
      </c>
      <c r="E51">
        <v>175</v>
      </c>
      <c r="F51" s="4">
        <v>68.99</v>
      </c>
      <c r="G51" s="4">
        <f>E51*F51</f>
      </c>
      <c r="H51" s="6">
        <v>0.136</v>
      </c>
    </row>
    <row r="52">
      <c r="A52" s="5">
        <v>45708</v>
      </c>
      <c r="B52" t="s">
        <v>8</v>
      </c>
      <c r="C52" t="s">
        <v>47</v>
      </c>
      <c r="D52" t="s">
        <v>48</v>
      </c>
      <c r="E52">
        <v>45</v>
      </c>
      <c r="F52" s="4">
        <v>32.83</v>
      </c>
      <c r="G52" s="4">
        <f>E52*F52</f>
      </c>
      <c r="H52" s="6">
        <v>0.353</v>
      </c>
    </row>
    <row r="53">
      <c r="A53" s="5">
        <v>45709</v>
      </c>
      <c r="B53" t="s">
        <v>8</v>
      </c>
      <c r="C53" t="s">
        <v>47</v>
      </c>
      <c r="D53" t="s">
        <v>50</v>
      </c>
      <c r="E53">
        <v>47</v>
      </c>
      <c r="F53" s="4">
        <v>62.09</v>
      </c>
      <c r="G53" s="4">
        <f>E53*F53</f>
      </c>
      <c r="H53" s="6">
        <v>0.164</v>
      </c>
    </row>
    <row r="54">
      <c r="A54" s="5">
        <v>45710</v>
      </c>
      <c r="B54" t="s">
        <v>8</v>
      </c>
      <c r="C54" t="s">
        <v>49</v>
      </c>
      <c r="D54" t="s">
        <v>42</v>
      </c>
      <c r="E54">
        <v>13</v>
      </c>
      <c r="F54" s="4">
        <v>62.93</v>
      </c>
      <c r="G54" s="4">
        <f>E54*F54</f>
      </c>
      <c r="H54" s="6">
        <v>0.47</v>
      </c>
    </row>
    <row r="55">
      <c r="A55" s="5">
        <v>45711</v>
      </c>
      <c r="B55" t="s">
        <v>10</v>
      </c>
      <c r="C55" t="s">
        <v>47</v>
      </c>
      <c r="D55" t="s">
        <v>51</v>
      </c>
      <c r="E55">
        <v>108</v>
      </c>
      <c r="F55" s="4">
        <v>84.46</v>
      </c>
      <c r="G55" s="4">
        <f>E55*F55</f>
      </c>
      <c r="H55" s="6">
        <v>0.352</v>
      </c>
    </row>
    <row r="56">
      <c r="A56" s="5">
        <v>45712</v>
      </c>
      <c r="B56" t="s">
        <v>8</v>
      </c>
      <c r="C56" t="s">
        <v>41</v>
      </c>
      <c r="D56" t="s">
        <v>50</v>
      </c>
      <c r="E56">
        <v>17</v>
      </c>
      <c r="F56" s="4">
        <v>52.29</v>
      </c>
      <c r="G56" s="4">
        <f>E56*F56</f>
      </c>
      <c r="H56" s="6">
        <v>0.107</v>
      </c>
    </row>
    <row r="57">
      <c r="A57" s="5">
        <v>45713</v>
      </c>
      <c r="B57" t="s">
        <v>11</v>
      </c>
      <c r="C57" t="s">
        <v>41</v>
      </c>
      <c r="D57" t="s">
        <v>46</v>
      </c>
      <c r="E57">
        <v>15</v>
      </c>
      <c r="F57" s="4">
        <v>75.37</v>
      </c>
      <c r="G57" s="4">
        <f>E57*F57</f>
      </c>
      <c r="H57" s="6">
        <v>0.369</v>
      </c>
    </row>
    <row r="58">
      <c r="A58" s="5">
        <v>45714</v>
      </c>
      <c r="B58" t="s">
        <v>11</v>
      </c>
      <c r="C58" t="s">
        <v>53</v>
      </c>
      <c r="D58" t="s">
        <v>46</v>
      </c>
      <c r="E58">
        <v>61</v>
      </c>
      <c r="F58" s="4">
        <v>45.43</v>
      </c>
      <c r="G58" s="4">
        <f>E58*F58</f>
      </c>
      <c r="H58" s="6">
        <v>0.129</v>
      </c>
    </row>
    <row r="59">
      <c r="A59" s="5">
        <v>45715</v>
      </c>
      <c r="B59" t="s">
        <v>11</v>
      </c>
      <c r="C59" t="s">
        <v>43</v>
      </c>
      <c r="D59" t="s">
        <v>42</v>
      </c>
      <c r="E59">
        <v>105</v>
      </c>
      <c r="F59" s="4">
        <v>27.49</v>
      </c>
      <c r="G59" s="4">
        <f>E59*F59</f>
      </c>
      <c r="H59" s="6">
        <v>0.309</v>
      </c>
    </row>
    <row r="60">
      <c r="A60" s="5">
        <v>45716</v>
      </c>
      <c r="B60" t="s">
        <v>8</v>
      </c>
      <c r="C60" t="s">
        <v>41</v>
      </c>
      <c r="D60" t="s">
        <v>44</v>
      </c>
      <c r="E60">
        <v>118</v>
      </c>
      <c r="F60" s="4">
        <v>41.89</v>
      </c>
      <c r="G60" s="4">
        <f>E60*F60</f>
      </c>
      <c r="H60" s="6">
        <v>0.242</v>
      </c>
    </row>
    <row r="61">
      <c r="A61" s="5">
        <v>45717</v>
      </c>
      <c r="B61" t="s">
        <v>10</v>
      </c>
      <c r="C61" t="s">
        <v>53</v>
      </c>
      <c r="D61" t="s">
        <v>48</v>
      </c>
      <c r="E61">
        <v>82</v>
      </c>
      <c r="F61" s="4">
        <v>58.54</v>
      </c>
      <c r="G61" s="4">
        <f>E61*F61</f>
      </c>
      <c r="H61" s="6">
        <v>0.436</v>
      </c>
    </row>
    <row r="62">
      <c r="A62" s="5">
        <v>45718</v>
      </c>
      <c r="B62" t="s">
        <v>9</v>
      </c>
      <c r="C62" t="s">
        <v>47</v>
      </c>
      <c r="D62" t="s">
        <v>51</v>
      </c>
      <c r="E62">
        <v>13</v>
      </c>
      <c r="F62" s="4">
        <v>62.13</v>
      </c>
      <c r="G62" s="4">
        <f>E62*F62</f>
      </c>
      <c r="H62" s="6">
        <v>0.098</v>
      </c>
    </row>
    <row r="63">
      <c r="A63" s="5">
        <v>45719</v>
      </c>
      <c r="B63" t="s">
        <v>10</v>
      </c>
      <c r="C63" t="s">
        <v>41</v>
      </c>
      <c r="D63" t="s">
        <v>50</v>
      </c>
      <c r="E63">
        <v>118</v>
      </c>
      <c r="F63" s="4">
        <v>18.99</v>
      </c>
      <c r="G63" s="4">
        <f>E63*F63</f>
      </c>
      <c r="H63" s="6">
        <v>0.444</v>
      </c>
    </row>
    <row r="64">
      <c r="A64" s="5">
        <v>45720</v>
      </c>
      <c r="B64" t="s">
        <v>10</v>
      </c>
      <c r="C64" t="s">
        <v>47</v>
      </c>
      <c r="D64" t="s">
        <v>48</v>
      </c>
      <c r="E64">
        <v>136</v>
      </c>
      <c r="F64" s="4">
        <v>30.11</v>
      </c>
      <c r="G64" s="4">
        <f>E64*F64</f>
      </c>
      <c r="H64" s="6">
        <v>0.459</v>
      </c>
    </row>
    <row r="65">
      <c r="A65" s="5">
        <v>45721</v>
      </c>
      <c r="B65" t="s">
        <v>8</v>
      </c>
      <c r="C65" t="s">
        <v>45</v>
      </c>
      <c r="D65" t="s">
        <v>50</v>
      </c>
      <c r="E65">
        <v>111</v>
      </c>
      <c r="F65" s="4">
        <v>11.27</v>
      </c>
      <c r="G65" s="4">
        <f>E65*F65</f>
      </c>
      <c r="H65" s="6">
        <v>0.169</v>
      </c>
    </row>
    <row r="66">
      <c r="A66" s="5">
        <v>45722</v>
      </c>
      <c r="B66" t="s">
        <v>10</v>
      </c>
      <c r="C66" t="s">
        <v>49</v>
      </c>
      <c r="D66" t="s">
        <v>44</v>
      </c>
      <c r="E66">
        <v>85</v>
      </c>
      <c r="F66" s="4">
        <v>44.52</v>
      </c>
      <c r="G66" s="4">
        <f>E66*F66</f>
      </c>
      <c r="H66" s="6">
        <v>0.123</v>
      </c>
    </row>
    <row r="67">
      <c r="A67" s="5">
        <v>45723</v>
      </c>
      <c r="B67" t="s">
        <v>8</v>
      </c>
      <c r="C67" t="s">
        <v>43</v>
      </c>
      <c r="D67" t="s">
        <v>42</v>
      </c>
      <c r="E67">
        <v>57</v>
      </c>
      <c r="F67" s="4">
        <v>25.71</v>
      </c>
      <c r="G67" s="4">
        <f>E67*F67</f>
      </c>
      <c r="H67" s="6">
        <v>0.355</v>
      </c>
    </row>
    <row r="68">
      <c r="A68" s="5">
        <v>45724</v>
      </c>
      <c r="B68" t="s">
        <v>8</v>
      </c>
      <c r="C68" t="s">
        <v>43</v>
      </c>
      <c r="D68" t="s">
        <v>46</v>
      </c>
      <c r="E68">
        <v>26</v>
      </c>
      <c r="F68" s="4">
        <v>25.95</v>
      </c>
      <c r="G68" s="4">
        <f>E68*F68</f>
      </c>
      <c r="H68" s="6">
        <v>0.474</v>
      </c>
    </row>
    <row r="69">
      <c r="A69" s="5">
        <v>45725</v>
      </c>
      <c r="B69" t="s">
        <v>8</v>
      </c>
      <c r="C69" t="s">
        <v>41</v>
      </c>
      <c r="D69" t="s">
        <v>44</v>
      </c>
      <c r="E69">
        <v>13</v>
      </c>
      <c r="F69" s="4">
        <v>43.95</v>
      </c>
      <c r="G69" s="4">
        <f>E69*F69</f>
      </c>
      <c r="H69" s="6">
        <v>0.086</v>
      </c>
    </row>
    <row r="70">
      <c r="A70" s="5">
        <v>45726</v>
      </c>
      <c r="B70" t="s">
        <v>9</v>
      </c>
      <c r="C70" t="s">
        <v>45</v>
      </c>
      <c r="D70" t="s">
        <v>44</v>
      </c>
      <c r="E70">
        <v>167</v>
      </c>
      <c r="F70" s="4">
        <v>21.45</v>
      </c>
      <c r="G70" s="4">
        <f>E70*F70</f>
      </c>
      <c r="H70" s="6">
        <v>0.13</v>
      </c>
    </row>
    <row r="71">
      <c r="A71" s="5">
        <v>45727</v>
      </c>
      <c r="B71" t="s">
        <v>11</v>
      </c>
      <c r="C71" t="s">
        <v>47</v>
      </c>
      <c r="D71" t="s">
        <v>51</v>
      </c>
      <c r="E71">
        <v>204</v>
      </c>
      <c r="F71" s="4">
        <v>89.13</v>
      </c>
      <c r="G71" s="4">
        <f>E71*F71</f>
      </c>
      <c r="H71" s="6">
        <v>0.244</v>
      </c>
    </row>
    <row r="72">
      <c r="A72" s="5">
        <v>45728</v>
      </c>
      <c r="B72" t="s">
        <v>8</v>
      </c>
      <c r="C72" t="s">
        <v>49</v>
      </c>
      <c r="D72" t="s">
        <v>44</v>
      </c>
      <c r="E72">
        <v>161</v>
      </c>
      <c r="F72" s="4">
        <v>39.58</v>
      </c>
      <c r="G72" s="4">
        <f>E72*F72</f>
      </c>
      <c r="H72" s="6">
        <v>0.39</v>
      </c>
    </row>
    <row r="73">
      <c r="A73" s="5">
        <v>45729</v>
      </c>
      <c r="B73" t="s">
        <v>9</v>
      </c>
      <c r="C73" t="s">
        <v>49</v>
      </c>
      <c r="D73" t="s">
        <v>51</v>
      </c>
      <c r="E73">
        <v>151</v>
      </c>
      <c r="F73" s="4">
        <v>23.45</v>
      </c>
      <c r="G73" s="4">
        <f>E73*F73</f>
      </c>
      <c r="H73" s="6">
        <v>0.38</v>
      </c>
    </row>
    <row r="74">
      <c r="A74" s="5">
        <v>45730</v>
      </c>
      <c r="B74" t="s">
        <v>9</v>
      </c>
      <c r="C74" t="s">
        <v>53</v>
      </c>
      <c r="D74" t="s">
        <v>50</v>
      </c>
      <c r="E74">
        <v>85</v>
      </c>
      <c r="F74" s="4">
        <v>78.28</v>
      </c>
      <c r="G74" s="4">
        <f>E74*F74</f>
      </c>
      <c r="H74" s="6">
        <v>0.144</v>
      </c>
    </row>
    <row r="75">
      <c r="A75" s="5">
        <v>45731</v>
      </c>
      <c r="B75" t="s">
        <v>8</v>
      </c>
      <c r="C75" t="s">
        <v>47</v>
      </c>
      <c r="D75" t="s">
        <v>52</v>
      </c>
      <c r="E75">
        <v>73</v>
      </c>
      <c r="F75" s="4">
        <v>39.68</v>
      </c>
      <c r="G75" s="4">
        <f>E75*F75</f>
      </c>
      <c r="H75" s="6">
        <v>0.224</v>
      </c>
    </row>
    <row r="76">
      <c r="A76" s="5">
        <v>45732</v>
      </c>
      <c r="B76" t="s">
        <v>10</v>
      </c>
      <c r="C76" t="s">
        <v>41</v>
      </c>
      <c r="D76" t="s">
        <v>51</v>
      </c>
      <c r="E76">
        <v>33</v>
      </c>
      <c r="F76" s="4">
        <v>91.49</v>
      </c>
      <c r="G76" s="4">
        <f>E76*F76</f>
      </c>
      <c r="H76" s="6">
        <v>0.36</v>
      </c>
    </row>
    <row r="77">
      <c r="A77" s="5">
        <v>45733</v>
      </c>
      <c r="B77" t="s">
        <v>8</v>
      </c>
      <c r="C77" t="s">
        <v>43</v>
      </c>
      <c r="D77" t="s">
        <v>44</v>
      </c>
      <c r="E77">
        <v>59</v>
      </c>
      <c r="F77" s="4">
        <v>20.44</v>
      </c>
      <c r="G77" s="4">
        <f>E77*F77</f>
      </c>
      <c r="H77" s="6">
        <v>0.195</v>
      </c>
    </row>
    <row r="78">
      <c r="A78" s="5">
        <v>45734</v>
      </c>
      <c r="B78" t="s">
        <v>9</v>
      </c>
      <c r="C78" t="s">
        <v>49</v>
      </c>
      <c r="D78" t="s">
        <v>50</v>
      </c>
      <c r="E78">
        <v>106</v>
      </c>
      <c r="F78" s="4">
        <v>82.77</v>
      </c>
      <c r="G78" s="4">
        <f>E78*F78</f>
      </c>
      <c r="H78" s="6">
        <v>0.424</v>
      </c>
    </row>
    <row r="79">
      <c r="A79" s="5">
        <v>45735</v>
      </c>
      <c r="B79" t="s">
        <v>8</v>
      </c>
      <c r="C79" t="s">
        <v>53</v>
      </c>
      <c r="D79" t="s">
        <v>46</v>
      </c>
      <c r="E79">
        <v>167</v>
      </c>
      <c r="F79" s="4">
        <v>74.56</v>
      </c>
      <c r="G79" s="4">
        <f>E79*F79</f>
      </c>
      <c r="H79" s="6">
        <v>0.294</v>
      </c>
    </row>
    <row r="80">
      <c r="A80" s="5">
        <v>45736</v>
      </c>
      <c r="B80" t="s">
        <v>10</v>
      </c>
      <c r="C80" t="s">
        <v>49</v>
      </c>
      <c r="D80" t="s">
        <v>52</v>
      </c>
      <c r="E80">
        <v>171</v>
      </c>
      <c r="F80" s="4">
        <v>97.12</v>
      </c>
      <c r="G80" s="4">
        <f>E80*F80</f>
      </c>
      <c r="H80" s="6">
        <v>0.379</v>
      </c>
    </row>
    <row r="81">
      <c r="A81" s="5">
        <v>45737</v>
      </c>
      <c r="B81" t="s">
        <v>9</v>
      </c>
      <c r="C81" t="s">
        <v>45</v>
      </c>
      <c r="D81" t="s">
        <v>44</v>
      </c>
      <c r="E81">
        <v>24</v>
      </c>
      <c r="F81" s="4">
        <v>37.43</v>
      </c>
      <c r="G81" s="4">
        <f>E81*F81</f>
      </c>
      <c r="H81" s="6">
        <v>0.326</v>
      </c>
    </row>
    <row r="82">
      <c r="A82" s="5">
        <v>45738</v>
      </c>
      <c r="B82" t="s">
        <v>11</v>
      </c>
      <c r="C82" t="s">
        <v>53</v>
      </c>
      <c r="D82" t="s">
        <v>52</v>
      </c>
      <c r="E82">
        <v>165</v>
      </c>
      <c r="F82" s="4">
        <v>74.75</v>
      </c>
      <c r="G82" s="4">
        <f>E82*F82</f>
      </c>
      <c r="H82" s="6">
        <v>0.218</v>
      </c>
    </row>
    <row r="83">
      <c r="A83" s="5">
        <v>45739</v>
      </c>
      <c r="B83" t="s">
        <v>11</v>
      </c>
      <c r="C83" t="s">
        <v>41</v>
      </c>
      <c r="D83" t="s">
        <v>52</v>
      </c>
      <c r="E83">
        <v>93</v>
      </c>
      <c r="F83" s="4">
        <v>34.33</v>
      </c>
      <c r="G83" s="4">
        <f>E83*F83</f>
      </c>
      <c r="H83" s="6">
        <v>0.421</v>
      </c>
    </row>
    <row r="84">
      <c r="A84" s="5">
        <v>45740</v>
      </c>
      <c r="B84" t="s">
        <v>10</v>
      </c>
      <c r="C84" t="s">
        <v>47</v>
      </c>
      <c r="D84" t="s">
        <v>50</v>
      </c>
      <c r="E84">
        <v>10</v>
      </c>
      <c r="F84" s="4">
        <v>10.09</v>
      </c>
      <c r="G84" s="4">
        <f>E84*F84</f>
      </c>
      <c r="H84" s="6">
        <v>0.095</v>
      </c>
    </row>
    <row r="85">
      <c r="A85" s="5">
        <v>45741</v>
      </c>
      <c r="B85" t="s">
        <v>9</v>
      </c>
      <c r="C85" t="s">
        <v>45</v>
      </c>
      <c r="D85" t="s">
        <v>48</v>
      </c>
      <c r="E85">
        <v>36</v>
      </c>
      <c r="F85" s="4">
        <v>54.2</v>
      </c>
      <c r="G85" s="4">
        <f>E85*F85</f>
      </c>
      <c r="H85" s="6">
        <v>0.403</v>
      </c>
    </row>
    <row r="86">
      <c r="A86" s="5">
        <v>45742</v>
      </c>
      <c r="B86" t="s">
        <v>10</v>
      </c>
      <c r="C86" t="s">
        <v>43</v>
      </c>
      <c r="D86" t="s">
        <v>50</v>
      </c>
      <c r="E86">
        <v>80</v>
      </c>
      <c r="F86" s="4">
        <v>44.42</v>
      </c>
      <c r="G86" s="4">
        <f>E86*F86</f>
      </c>
      <c r="H86" s="6">
        <v>0.275</v>
      </c>
    </row>
    <row r="87">
      <c r="A87" s="5">
        <v>45743</v>
      </c>
      <c r="B87" t="s">
        <v>9</v>
      </c>
      <c r="C87" t="s">
        <v>47</v>
      </c>
      <c r="D87" t="s">
        <v>52</v>
      </c>
      <c r="E87">
        <v>200</v>
      </c>
      <c r="F87" s="4">
        <v>85.48</v>
      </c>
      <c r="G87" s="4">
        <f>E87*F87</f>
      </c>
      <c r="H87" s="6">
        <v>0.124</v>
      </c>
    </row>
    <row r="88">
      <c r="A88" s="5">
        <v>45744</v>
      </c>
      <c r="B88" t="s">
        <v>11</v>
      </c>
      <c r="C88" t="s">
        <v>49</v>
      </c>
      <c r="D88" t="s">
        <v>44</v>
      </c>
      <c r="E88">
        <v>68</v>
      </c>
      <c r="F88" s="4">
        <v>14.31</v>
      </c>
      <c r="G88" s="4">
        <f>E88*F88</f>
      </c>
      <c r="H88" s="6">
        <v>0.298</v>
      </c>
    </row>
    <row r="89">
      <c r="A89" s="5">
        <v>45745</v>
      </c>
      <c r="B89" t="s">
        <v>8</v>
      </c>
      <c r="C89" t="s">
        <v>49</v>
      </c>
      <c r="D89" t="s">
        <v>52</v>
      </c>
      <c r="E89">
        <v>5</v>
      </c>
      <c r="F89" s="4">
        <v>57.74</v>
      </c>
      <c r="G89" s="4">
        <f>E89*F89</f>
      </c>
      <c r="H89" s="6">
        <v>0.149</v>
      </c>
    </row>
    <row r="90">
      <c r="A90" s="5">
        <v>45746</v>
      </c>
      <c r="B90" t="s">
        <v>11</v>
      </c>
      <c r="C90" t="s">
        <v>49</v>
      </c>
      <c r="D90" t="s">
        <v>50</v>
      </c>
      <c r="E90">
        <v>91</v>
      </c>
      <c r="F90" s="4">
        <v>13.74</v>
      </c>
      <c r="G90" s="4">
        <f>E90*F90</f>
      </c>
      <c r="H90" s="6">
        <v>0.267</v>
      </c>
    </row>
    <row r="91">
      <c r="A91" s="5">
        <v>45747</v>
      </c>
      <c r="B91" t="s">
        <v>11</v>
      </c>
      <c r="C91" t="s">
        <v>49</v>
      </c>
      <c r="D91" t="s">
        <v>42</v>
      </c>
      <c r="E91">
        <v>41</v>
      </c>
      <c r="F91" s="4">
        <v>63.71</v>
      </c>
      <c r="G91" s="4">
        <f>E91*F91</f>
      </c>
      <c r="H91" s="6">
        <v>0.289</v>
      </c>
    </row>
    <row r="92">
      <c r="A92" s="5">
        <v>45748</v>
      </c>
      <c r="B92" t="s">
        <v>11</v>
      </c>
      <c r="C92" t="s">
        <v>43</v>
      </c>
      <c r="D92" t="s">
        <v>52</v>
      </c>
      <c r="E92">
        <v>85</v>
      </c>
      <c r="F92" s="4">
        <v>29.83</v>
      </c>
      <c r="G92" s="4">
        <f>E92*F92</f>
      </c>
      <c r="H92" s="6">
        <v>0.095</v>
      </c>
    </row>
    <row r="93">
      <c r="A93" s="5">
        <v>45749</v>
      </c>
      <c r="B93" t="s">
        <v>9</v>
      </c>
      <c r="C93" t="s">
        <v>53</v>
      </c>
      <c r="D93" t="s">
        <v>50</v>
      </c>
      <c r="E93">
        <v>48</v>
      </c>
      <c r="F93" s="4">
        <v>94.41</v>
      </c>
      <c r="G93" s="4">
        <f>E93*F93</f>
      </c>
      <c r="H93" s="6">
        <v>0.454</v>
      </c>
    </row>
    <row r="94">
      <c r="A94" s="5">
        <v>45750</v>
      </c>
      <c r="B94" t="s">
        <v>11</v>
      </c>
      <c r="C94" t="s">
        <v>53</v>
      </c>
      <c r="D94" t="s">
        <v>46</v>
      </c>
      <c r="E94">
        <v>115</v>
      </c>
      <c r="F94" s="4">
        <v>91.82</v>
      </c>
      <c r="G94" s="4">
        <f>E94*F94</f>
      </c>
      <c r="H94" s="6">
        <v>0.272</v>
      </c>
    </row>
    <row r="95">
      <c r="A95" s="5">
        <v>45751</v>
      </c>
      <c r="B95" t="s">
        <v>9</v>
      </c>
      <c r="C95" t="s">
        <v>53</v>
      </c>
      <c r="D95" t="s">
        <v>50</v>
      </c>
      <c r="E95">
        <v>38</v>
      </c>
      <c r="F95" s="4">
        <v>34.31</v>
      </c>
      <c r="G95" s="4">
        <f>E95*F95</f>
      </c>
      <c r="H95" s="6">
        <v>0.402</v>
      </c>
    </row>
    <row r="96">
      <c r="A96" s="5">
        <v>45752</v>
      </c>
      <c r="B96" t="s">
        <v>11</v>
      </c>
      <c r="C96" t="s">
        <v>49</v>
      </c>
      <c r="D96" t="s">
        <v>44</v>
      </c>
      <c r="E96">
        <v>129</v>
      </c>
      <c r="F96" s="4">
        <v>57.31</v>
      </c>
      <c r="G96" s="4">
        <f>E96*F96</f>
      </c>
      <c r="H96" s="6">
        <v>0.282</v>
      </c>
    </row>
    <row r="97">
      <c r="A97" s="5">
        <v>45753</v>
      </c>
      <c r="B97" t="s">
        <v>9</v>
      </c>
      <c r="C97" t="s">
        <v>45</v>
      </c>
      <c r="D97" t="s">
        <v>46</v>
      </c>
      <c r="E97">
        <v>69</v>
      </c>
      <c r="F97" s="4">
        <v>64.14</v>
      </c>
      <c r="G97" s="4">
        <f>E97*F97</f>
      </c>
      <c r="H97" s="6">
        <v>0.138</v>
      </c>
    </row>
    <row r="98">
      <c r="A98" s="5">
        <v>45754</v>
      </c>
      <c r="B98" t="s">
        <v>11</v>
      </c>
      <c r="C98" t="s">
        <v>41</v>
      </c>
      <c r="D98" t="s">
        <v>51</v>
      </c>
      <c r="E98">
        <v>109</v>
      </c>
      <c r="F98" s="4">
        <v>53.11</v>
      </c>
      <c r="G98" s="4">
        <f>E98*F98</f>
      </c>
      <c r="H98" s="6">
        <v>0.181</v>
      </c>
    </row>
    <row r="99">
      <c r="A99" s="5">
        <v>45755</v>
      </c>
      <c r="B99" t="s">
        <v>8</v>
      </c>
      <c r="C99" t="s">
        <v>49</v>
      </c>
      <c r="D99" t="s">
        <v>52</v>
      </c>
      <c r="E99">
        <v>56</v>
      </c>
      <c r="F99" s="4">
        <v>41.89</v>
      </c>
      <c r="G99" s="4">
        <f>E99*F99</f>
      </c>
      <c r="H99" s="6">
        <v>0.451</v>
      </c>
    </row>
    <row r="100">
      <c r="A100" s="5">
        <v>45756</v>
      </c>
      <c r="B100" t="s">
        <v>9</v>
      </c>
      <c r="C100" t="s">
        <v>53</v>
      </c>
      <c r="D100" t="s">
        <v>46</v>
      </c>
      <c r="E100">
        <v>23</v>
      </c>
      <c r="F100" s="4">
        <v>81.78</v>
      </c>
      <c r="G100" s="4">
        <f>E100*F100</f>
      </c>
      <c r="H100" s="6">
        <v>0.4</v>
      </c>
    </row>
    <row r="101">
      <c r="A101" s="5">
        <v>45757</v>
      </c>
      <c r="B101" t="s">
        <v>9</v>
      </c>
      <c r="C101" t="s">
        <v>43</v>
      </c>
      <c r="D101" t="s">
        <v>42</v>
      </c>
      <c r="E101">
        <v>32</v>
      </c>
      <c r="F101" s="4">
        <v>70.28</v>
      </c>
      <c r="G101" s="4">
        <f>E101*F101</f>
      </c>
      <c r="H101" s="6">
        <v>0.376</v>
      </c>
    </row>
    <row r="102">
      <c r="A102" s="5">
        <v>45758</v>
      </c>
      <c r="B102" t="s">
        <v>11</v>
      </c>
      <c r="C102" t="s">
        <v>47</v>
      </c>
      <c r="D102" t="s">
        <v>50</v>
      </c>
      <c r="E102">
        <v>36</v>
      </c>
      <c r="F102" s="4">
        <v>58.8</v>
      </c>
      <c r="G102" s="4">
        <f>E102*F102</f>
      </c>
      <c r="H102" s="6">
        <v>0.427</v>
      </c>
    </row>
    <row r="103">
      <c r="A103" s="5">
        <v>45759</v>
      </c>
      <c r="B103" t="s">
        <v>11</v>
      </c>
      <c r="C103" t="s">
        <v>47</v>
      </c>
      <c r="D103" t="s">
        <v>51</v>
      </c>
      <c r="E103">
        <v>54</v>
      </c>
      <c r="F103" s="4">
        <v>51.58</v>
      </c>
      <c r="G103" s="4">
        <f>E103*F103</f>
      </c>
      <c r="H103" s="6">
        <v>0.284</v>
      </c>
    </row>
    <row r="104">
      <c r="A104" s="5">
        <v>45760</v>
      </c>
      <c r="B104" t="s">
        <v>10</v>
      </c>
      <c r="C104" t="s">
        <v>47</v>
      </c>
      <c r="D104" t="s">
        <v>42</v>
      </c>
      <c r="E104">
        <v>109</v>
      </c>
      <c r="F104" s="4">
        <v>76.55</v>
      </c>
      <c r="G104" s="4">
        <f>E104*F104</f>
      </c>
      <c r="H104" s="6">
        <v>0.326</v>
      </c>
    </row>
    <row r="105">
      <c r="A105" s="5">
        <v>45761</v>
      </c>
      <c r="B105" t="s">
        <v>11</v>
      </c>
      <c r="C105" t="s">
        <v>49</v>
      </c>
      <c r="D105" t="s">
        <v>42</v>
      </c>
      <c r="E105">
        <v>99</v>
      </c>
      <c r="F105" s="4">
        <v>32.92</v>
      </c>
      <c r="G105" s="4">
        <f>E105*F105</f>
      </c>
      <c r="H105" s="6">
        <v>0.273</v>
      </c>
    </row>
    <row r="106">
      <c r="A106" s="5">
        <v>45762</v>
      </c>
      <c r="B106" t="s">
        <v>8</v>
      </c>
      <c r="C106" t="s">
        <v>43</v>
      </c>
      <c r="D106" t="s">
        <v>42</v>
      </c>
      <c r="E106">
        <v>198</v>
      </c>
      <c r="F106" s="4">
        <v>16</v>
      </c>
      <c r="G106" s="4">
        <f>E106*F106</f>
      </c>
      <c r="H106" s="6">
        <v>0.328</v>
      </c>
    </row>
    <row r="107">
      <c r="A107" s="5">
        <v>45763</v>
      </c>
      <c r="B107" t="s">
        <v>8</v>
      </c>
      <c r="C107" t="s">
        <v>49</v>
      </c>
      <c r="D107" t="s">
        <v>51</v>
      </c>
      <c r="E107">
        <v>149</v>
      </c>
      <c r="F107" s="4">
        <v>79.04</v>
      </c>
      <c r="G107" s="4">
        <f>E107*F107</f>
      </c>
      <c r="H107" s="6">
        <v>0.367</v>
      </c>
    </row>
    <row r="108">
      <c r="A108" s="5">
        <v>45764</v>
      </c>
      <c r="B108" t="s">
        <v>11</v>
      </c>
      <c r="C108" t="s">
        <v>43</v>
      </c>
      <c r="D108" t="s">
        <v>46</v>
      </c>
      <c r="E108">
        <v>7</v>
      </c>
      <c r="F108" s="4">
        <v>13.36</v>
      </c>
      <c r="G108" s="4">
        <f>E108*F108</f>
      </c>
      <c r="H108" s="6">
        <v>0.474</v>
      </c>
    </row>
    <row r="109">
      <c r="A109" s="5">
        <v>45765</v>
      </c>
      <c r="B109" t="s">
        <v>11</v>
      </c>
      <c r="C109" t="s">
        <v>47</v>
      </c>
      <c r="D109" t="s">
        <v>48</v>
      </c>
      <c r="E109">
        <v>114</v>
      </c>
      <c r="F109" s="4">
        <v>77.17</v>
      </c>
      <c r="G109" s="4">
        <f>E109*F109</f>
      </c>
      <c r="H109" s="6">
        <v>0.47</v>
      </c>
    </row>
    <row r="110">
      <c r="A110" s="5">
        <v>45766</v>
      </c>
      <c r="B110" t="s">
        <v>8</v>
      </c>
      <c r="C110" t="s">
        <v>43</v>
      </c>
      <c r="D110" t="s">
        <v>52</v>
      </c>
      <c r="E110">
        <v>30</v>
      </c>
      <c r="F110" s="4">
        <v>52.02</v>
      </c>
      <c r="G110" s="4">
        <f>E110*F110</f>
      </c>
      <c r="H110" s="6">
        <v>0.463</v>
      </c>
    </row>
    <row r="111">
      <c r="A111" s="5">
        <v>45767</v>
      </c>
      <c r="B111" t="s">
        <v>10</v>
      </c>
      <c r="C111" t="s">
        <v>43</v>
      </c>
      <c r="D111" t="s">
        <v>46</v>
      </c>
      <c r="E111">
        <v>189</v>
      </c>
      <c r="F111" s="4">
        <v>69.84</v>
      </c>
      <c r="G111" s="4">
        <f>E111*F111</f>
      </c>
      <c r="H111" s="6">
        <v>0.251</v>
      </c>
    </row>
    <row r="112">
      <c r="A112" s="5">
        <v>45768</v>
      </c>
      <c r="B112" t="s">
        <v>8</v>
      </c>
      <c r="C112" t="s">
        <v>53</v>
      </c>
      <c r="D112" t="s">
        <v>42</v>
      </c>
      <c r="E112">
        <v>36</v>
      </c>
      <c r="F112" s="4">
        <v>76.35</v>
      </c>
      <c r="G112" s="4">
        <f>E112*F112</f>
      </c>
      <c r="H112" s="6">
        <v>0.358</v>
      </c>
    </row>
    <row r="113">
      <c r="A113" s="5">
        <v>45769</v>
      </c>
      <c r="B113" t="s">
        <v>8</v>
      </c>
      <c r="C113" t="s">
        <v>49</v>
      </c>
      <c r="D113" t="s">
        <v>44</v>
      </c>
      <c r="E113">
        <v>150</v>
      </c>
      <c r="F113" s="4">
        <v>70.42</v>
      </c>
      <c r="G113" s="4">
        <f>E113*F113</f>
      </c>
      <c r="H113" s="6">
        <v>0.34</v>
      </c>
    </row>
    <row r="114">
      <c r="A114" s="5">
        <v>45770</v>
      </c>
      <c r="B114" t="s">
        <v>11</v>
      </c>
      <c r="C114" t="s">
        <v>53</v>
      </c>
      <c r="D114" t="s">
        <v>52</v>
      </c>
      <c r="E114">
        <v>158</v>
      </c>
      <c r="F114" s="4">
        <v>72.71</v>
      </c>
      <c r="G114" s="4">
        <f>E114*F114</f>
      </c>
      <c r="H114" s="6">
        <v>0.182</v>
      </c>
    </row>
    <row r="115">
      <c r="A115" s="5">
        <v>45771</v>
      </c>
      <c r="B115" t="s">
        <v>9</v>
      </c>
      <c r="C115" t="s">
        <v>53</v>
      </c>
      <c r="D115" t="s">
        <v>46</v>
      </c>
      <c r="E115">
        <v>201</v>
      </c>
      <c r="F115" s="4">
        <v>41.07</v>
      </c>
      <c r="G115" s="4">
        <f>E115*F115</f>
      </c>
      <c r="H115" s="6">
        <v>0.256</v>
      </c>
    </row>
    <row r="116">
      <c r="A116" s="5">
        <v>45772</v>
      </c>
      <c r="B116" t="s">
        <v>9</v>
      </c>
      <c r="C116" t="s">
        <v>45</v>
      </c>
      <c r="D116" t="s">
        <v>42</v>
      </c>
      <c r="E116">
        <v>95</v>
      </c>
      <c r="F116" s="4">
        <v>30.08</v>
      </c>
      <c r="G116" s="4">
        <f>E116*F116</f>
      </c>
      <c r="H116" s="6">
        <v>0.477</v>
      </c>
    </row>
    <row r="117">
      <c r="A117" s="5">
        <v>45773</v>
      </c>
      <c r="B117" t="s">
        <v>8</v>
      </c>
      <c r="C117" t="s">
        <v>41</v>
      </c>
      <c r="D117" t="s">
        <v>51</v>
      </c>
      <c r="E117">
        <v>166</v>
      </c>
      <c r="F117" s="4">
        <v>38.26</v>
      </c>
      <c r="G117" s="4">
        <f>E117*F117</f>
      </c>
      <c r="H117" s="6">
        <v>0.319</v>
      </c>
    </row>
    <row r="118">
      <c r="A118" s="5">
        <v>45774</v>
      </c>
      <c r="B118" t="s">
        <v>10</v>
      </c>
      <c r="C118" t="s">
        <v>47</v>
      </c>
      <c r="D118" t="s">
        <v>51</v>
      </c>
      <c r="E118">
        <v>81</v>
      </c>
      <c r="F118" s="4">
        <v>31.3</v>
      </c>
      <c r="G118" s="4">
        <f>E118*F118</f>
      </c>
      <c r="H118" s="6">
        <v>0.098</v>
      </c>
    </row>
    <row r="119">
      <c r="A119" s="5">
        <v>45775</v>
      </c>
      <c r="B119" t="s">
        <v>9</v>
      </c>
      <c r="C119" t="s">
        <v>43</v>
      </c>
      <c r="D119" t="s">
        <v>48</v>
      </c>
      <c r="E119">
        <v>188</v>
      </c>
      <c r="F119" s="4">
        <v>53.12</v>
      </c>
      <c r="G119" s="4">
        <f>E119*F119</f>
      </c>
      <c r="H119" s="6">
        <v>0.349</v>
      </c>
    </row>
    <row r="120">
      <c r="A120" s="5">
        <v>45776</v>
      </c>
      <c r="B120" t="s">
        <v>11</v>
      </c>
      <c r="C120" t="s">
        <v>47</v>
      </c>
      <c r="D120" t="s">
        <v>48</v>
      </c>
      <c r="E120">
        <v>20</v>
      </c>
      <c r="F120" s="4">
        <v>41.47</v>
      </c>
      <c r="G120" s="4">
        <f>E120*F120</f>
      </c>
      <c r="H120" s="6">
        <v>0.152</v>
      </c>
    </row>
    <row r="121">
      <c r="A121" s="5">
        <v>45777</v>
      </c>
      <c r="B121" t="s">
        <v>10</v>
      </c>
      <c r="C121" t="s">
        <v>43</v>
      </c>
      <c r="D121" t="s">
        <v>48</v>
      </c>
      <c r="E121">
        <v>179</v>
      </c>
      <c r="F121" s="4">
        <v>8.46</v>
      </c>
      <c r="G121" s="4">
        <f>E121*F121</f>
      </c>
      <c r="H121" s="6">
        <v>0.479</v>
      </c>
    </row>
    <row r="122">
      <c r="A122" s="5">
        <v>45778</v>
      </c>
      <c r="B122" t="s">
        <v>11</v>
      </c>
      <c r="C122" t="s">
        <v>45</v>
      </c>
      <c r="D122" t="s">
        <v>46</v>
      </c>
      <c r="E122">
        <v>128</v>
      </c>
      <c r="F122" s="4">
        <v>88.86</v>
      </c>
      <c r="G122" s="4">
        <f>E122*F122</f>
      </c>
      <c r="H122" s="6">
        <v>0.379</v>
      </c>
    </row>
    <row r="123">
      <c r="A123" s="5">
        <v>45779</v>
      </c>
      <c r="B123" t="s">
        <v>8</v>
      </c>
      <c r="C123" t="s">
        <v>43</v>
      </c>
      <c r="D123" t="s">
        <v>44</v>
      </c>
      <c r="E123">
        <v>123</v>
      </c>
      <c r="F123" s="4">
        <v>89.71</v>
      </c>
      <c r="G123" s="4">
        <f>E123*F123</f>
      </c>
      <c r="H123" s="6">
        <v>0.442</v>
      </c>
    </row>
    <row r="124">
      <c r="A124" s="5">
        <v>45780</v>
      </c>
      <c r="B124" t="s">
        <v>11</v>
      </c>
      <c r="C124" t="s">
        <v>47</v>
      </c>
      <c r="D124" t="s">
        <v>48</v>
      </c>
      <c r="E124">
        <v>167</v>
      </c>
      <c r="F124" s="4">
        <v>41.7</v>
      </c>
      <c r="G124" s="4">
        <f>E124*F124</f>
      </c>
      <c r="H124" s="6">
        <v>0.355</v>
      </c>
    </row>
    <row r="125">
      <c r="A125" s="5">
        <v>45781</v>
      </c>
      <c r="B125" t="s">
        <v>9</v>
      </c>
      <c r="C125" t="s">
        <v>49</v>
      </c>
      <c r="D125" t="s">
        <v>50</v>
      </c>
      <c r="E125">
        <v>31</v>
      </c>
      <c r="F125" s="4">
        <v>76.73</v>
      </c>
      <c r="G125" s="4">
        <f>E125*F125</f>
      </c>
      <c r="H125" s="6">
        <v>0.164</v>
      </c>
    </row>
    <row r="126">
      <c r="A126" s="5">
        <v>45782</v>
      </c>
      <c r="B126" t="s">
        <v>10</v>
      </c>
      <c r="C126" t="s">
        <v>47</v>
      </c>
      <c r="D126" t="s">
        <v>44</v>
      </c>
      <c r="E126">
        <v>168</v>
      </c>
      <c r="F126" s="4">
        <v>41.04</v>
      </c>
      <c r="G126" s="4">
        <f>E126*F126</f>
      </c>
      <c r="H126" s="6">
        <v>0.443</v>
      </c>
    </row>
    <row r="127">
      <c r="A127" s="5">
        <v>45783</v>
      </c>
      <c r="B127" t="s">
        <v>9</v>
      </c>
      <c r="C127" t="s">
        <v>53</v>
      </c>
      <c r="D127" t="s">
        <v>46</v>
      </c>
      <c r="E127">
        <v>81</v>
      </c>
      <c r="F127" s="4">
        <v>15.66</v>
      </c>
      <c r="G127" s="4">
        <f>E127*F127</f>
      </c>
      <c r="H127" s="6">
        <v>0.178</v>
      </c>
    </row>
    <row r="128">
      <c r="A128" s="5">
        <v>45784</v>
      </c>
      <c r="B128" t="s">
        <v>8</v>
      </c>
      <c r="C128" t="s">
        <v>41</v>
      </c>
      <c r="D128" t="s">
        <v>48</v>
      </c>
      <c r="E128">
        <v>191</v>
      </c>
      <c r="F128" s="4">
        <v>47.55</v>
      </c>
      <c r="G128" s="4">
        <f>E128*F128</f>
      </c>
      <c r="H128" s="6">
        <v>0.202</v>
      </c>
    </row>
    <row r="129">
      <c r="A129" s="5">
        <v>45785</v>
      </c>
      <c r="B129" t="s">
        <v>11</v>
      </c>
      <c r="C129" t="s">
        <v>41</v>
      </c>
      <c r="D129" t="s">
        <v>44</v>
      </c>
      <c r="E129">
        <v>88</v>
      </c>
      <c r="F129" s="4">
        <v>42.36</v>
      </c>
      <c r="G129" s="4">
        <f>E129*F129</f>
      </c>
      <c r="H129" s="6">
        <v>0.469</v>
      </c>
    </row>
    <row r="130">
      <c r="A130" s="5">
        <v>45786</v>
      </c>
      <c r="B130" t="s">
        <v>9</v>
      </c>
      <c r="C130" t="s">
        <v>49</v>
      </c>
      <c r="D130" t="s">
        <v>51</v>
      </c>
      <c r="E130">
        <v>90</v>
      </c>
      <c r="F130" s="4">
        <v>84.44</v>
      </c>
      <c r="G130" s="4">
        <f>E130*F130</f>
      </c>
      <c r="H130" s="6">
        <v>0.476</v>
      </c>
    </row>
    <row r="131">
      <c r="A131" s="5">
        <v>45787</v>
      </c>
      <c r="B131" t="s">
        <v>11</v>
      </c>
      <c r="C131" t="s">
        <v>43</v>
      </c>
      <c r="D131" t="s">
        <v>42</v>
      </c>
      <c r="E131">
        <v>28</v>
      </c>
      <c r="F131" s="4">
        <v>36.39</v>
      </c>
      <c r="G131" s="4">
        <f>E131*F131</f>
      </c>
      <c r="H131" s="6">
        <v>0.285</v>
      </c>
    </row>
    <row r="132">
      <c r="A132" s="5">
        <v>45788</v>
      </c>
      <c r="B132" t="s">
        <v>9</v>
      </c>
      <c r="C132" t="s">
        <v>49</v>
      </c>
      <c r="D132" t="s">
        <v>52</v>
      </c>
      <c r="E132">
        <v>164</v>
      </c>
      <c r="F132" s="4">
        <v>57.15</v>
      </c>
      <c r="G132" s="4">
        <f>E132*F132</f>
      </c>
      <c r="H132" s="6">
        <v>0.358</v>
      </c>
    </row>
    <row r="133">
      <c r="A133" s="5">
        <v>45789</v>
      </c>
      <c r="B133" t="s">
        <v>8</v>
      </c>
      <c r="C133" t="s">
        <v>43</v>
      </c>
      <c r="D133" t="s">
        <v>42</v>
      </c>
      <c r="E133">
        <v>177</v>
      </c>
      <c r="F133" s="4">
        <v>12.72</v>
      </c>
      <c r="G133" s="4">
        <f>E133*F133</f>
      </c>
      <c r="H133" s="6">
        <v>0.461</v>
      </c>
    </row>
    <row r="134">
      <c r="A134" s="5">
        <v>45790</v>
      </c>
      <c r="B134" t="s">
        <v>11</v>
      </c>
      <c r="C134" t="s">
        <v>41</v>
      </c>
      <c r="D134" t="s">
        <v>52</v>
      </c>
      <c r="E134">
        <v>21</v>
      </c>
      <c r="F134" s="4">
        <v>46.33</v>
      </c>
      <c r="G134" s="4">
        <f>E134*F134</f>
      </c>
      <c r="H134" s="6">
        <v>0.449</v>
      </c>
    </row>
    <row r="135">
      <c r="A135" s="5">
        <v>45791</v>
      </c>
      <c r="B135" t="s">
        <v>10</v>
      </c>
      <c r="C135" t="s">
        <v>53</v>
      </c>
      <c r="D135" t="s">
        <v>52</v>
      </c>
      <c r="E135">
        <v>60</v>
      </c>
      <c r="F135" s="4">
        <v>59.01</v>
      </c>
      <c r="G135" s="4">
        <f>E135*F135</f>
      </c>
      <c r="H135" s="6">
        <v>0.457</v>
      </c>
    </row>
    <row r="136">
      <c r="A136" s="5">
        <v>45792</v>
      </c>
      <c r="B136" t="s">
        <v>10</v>
      </c>
      <c r="C136" t="s">
        <v>47</v>
      </c>
      <c r="D136" t="s">
        <v>52</v>
      </c>
      <c r="E136">
        <v>91</v>
      </c>
      <c r="F136" s="4">
        <v>54.65</v>
      </c>
      <c r="G136" s="4">
        <f>E136*F136</f>
      </c>
      <c r="H136" s="6">
        <v>0.403</v>
      </c>
    </row>
    <row r="137">
      <c r="A137" s="5">
        <v>45793</v>
      </c>
      <c r="B137" t="s">
        <v>11</v>
      </c>
      <c r="C137" t="s">
        <v>45</v>
      </c>
      <c r="D137" t="s">
        <v>48</v>
      </c>
      <c r="E137">
        <v>9</v>
      </c>
      <c r="F137" s="4">
        <v>76.5</v>
      </c>
      <c r="G137" s="4">
        <f>E137*F137</f>
      </c>
      <c r="H137" s="6">
        <v>0.451</v>
      </c>
    </row>
    <row r="138">
      <c r="A138" s="5">
        <v>45794</v>
      </c>
      <c r="B138" t="s">
        <v>8</v>
      </c>
      <c r="C138" t="s">
        <v>45</v>
      </c>
      <c r="D138" t="s">
        <v>46</v>
      </c>
      <c r="E138">
        <v>8</v>
      </c>
      <c r="F138" s="4">
        <v>12.98</v>
      </c>
      <c r="G138" s="4">
        <f>E138*F138</f>
      </c>
      <c r="H138" s="6">
        <v>0.347</v>
      </c>
    </row>
    <row r="139">
      <c r="A139" s="5">
        <v>45795</v>
      </c>
      <c r="B139" t="s">
        <v>11</v>
      </c>
      <c r="C139" t="s">
        <v>45</v>
      </c>
      <c r="D139" t="s">
        <v>42</v>
      </c>
      <c r="E139">
        <v>99</v>
      </c>
      <c r="F139" s="4">
        <v>68.72</v>
      </c>
      <c r="G139" s="4">
        <f>E139*F139</f>
      </c>
      <c r="H139" s="6">
        <v>0.355</v>
      </c>
    </row>
    <row r="140">
      <c r="A140" s="5">
        <v>45796</v>
      </c>
      <c r="B140" t="s">
        <v>9</v>
      </c>
      <c r="C140" t="s">
        <v>41</v>
      </c>
      <c r="D140" t="s">
        <v>48</v>
      </c>
      <c r="E140">
        <v>154</v>
      </c>
      <c r="F140" s="4">
        <v>12.54</v>
      </c>
      <c r="G140" s="4">
        <f>E140*F140</f>
      </c>
      <c r="H140" s="6">
        <v>0.234</v>
      </c>
    </row>
    <row r="141">
      <c r="A141" s="5">
        <v>45797</v>
      </c>
      <c r="B141" t="s">
        <v>9</v>
      </c>
      <c r="C141" t="s">
        <v>43</v>
      </c>
      <c r="D141" t="s">
        <v>46</v>
      </c>
      <c r="E141">
        <v>74</v>
      </c>
      <c r="F141" s="4">
        <v>90.49</v>
      </c>
      <c r="G141" s="4">
        <f>E141*F141</f>
      </c>
      <c r="H141" s="6">
        <v>0.422</v>
      </c>
    </row>
    <row r="142">
      <c r="A142" s="5">
        <v>45798</v>
      </c>
      <c r="B142" t="s">
        <v>8</v>
      </c>
      <c r="C142" t="s">
        <v>49</v>
      </c>
      <c r="D142" t="s">
        <v>46</v>
      </c>
      <c r="E142">
        <v>102</v>
      </c>
      <c r="F142" s="4">
        <v>59.84</v>
      </c>
      <c r="G142" s="4">
        <f>E142*F142</f>
      </c>
      <c r="H142" s="6">
        <v>0.108</v>
      </c>
    </row>
    <row r="143">
      <c r="A143" s="5">
        <v>45799</v>
      </c>
      <c r="B143" t="s">
        <v>11</v>
      </c>
      <c r="C143" t="s">
        <v>47</v>
      </c>
      <c r="D143" t="s">
        <v>44</v>
      </c>
      <c r="E143">
        <v>48</v>
      </c>
      <c r="F143" s="4">
        <v>43.42</v>
      </c>
      <c r="G143" s="4">
        <f>E143*F143</f>
      </c>
      <c r="H143" s="6">
        <v>0.182</v>
      </c>
    </row>
    <row r="144">
      <c r="A144" s="5">
        <v>45800</v>
      </c>
      <c r="B144" t="s">
        <v>8</v>
      </c>
      <c r="C144" t="s">
        <v>49</v>
      </c>
      <c r="D144" t="s">
        <v>42</v>
      </c>
      <c r="E144">
        <v>180</v>
      </c>
      <c r="F144" s="4">
        <v>50.64</v>
      </c>
      <c r="G144" s="4">
        <f>E144*F144</f>
      </c>
      <c r="H144" s="6">
        <v>0.448</v>
      </c>
    </row>
    <row r="145">
      <c r="A145" s="5">
        <v>45801</v>
      </c>
      <c r="B145" t="s">
        <v>8</v>
      </c>
      <c r="C145" t="s">
        <v>43</v>
      </c>
      <c r="D145" t="s">
        <v>48</v>
      </c>
      <c r="E145">
        <v>120</v>
      </c>
      <c r="F145" s="4">
        <v>49.73</v>
      </c>
      <c r="G145" s="4">
        <f>E145*F145</f>
      </c>
      <c r="H145" s="6">
        <v>0.414</v>
      </c>
    </row>
    <row r="146">
      <c r="A146" s="5">
        <v>45802</v>
      </c>
      <c r="B146" t="s">
        <v>10</v>
      </c>
      <c r="C146" t="s">
        <v>41</v>
      </c>
      <c r="D146" t="s">
        <v>52</v>
      </c>
      <c r="E146">
        <v>197</v>
      </c>
      <c r="F146" s="4">
        <v>70.73</v>
      </c>
      <c r="G146" s="4">
        <f>E146*F146</f>
      </c>
      <c r="H146" s="6">
        <v>0.243</v>
      </c>
    </row>
    <row r="147">
      <c r="A147" s="5">
        <v>45803</v>
      </c>
      <c r="B147" t="s">
        <v>8</v>
      </c>
      <c r="C147" t="s">
        <v>41</v>
      </c>
      <c r="D147" t="s">
        <v>50</v>
      </c>
      <c r="E147">
        <v>58</v>
      </c>
      <c r="F147" s="4">
        <v>74.95</v>
      </c>
      <c r="G147" s="4">
        <f>E147*F147</f>
      </c>
      <c r="H147" s="6">
        <v>0.339</v>
      </c>
    </row>
    <row r="148">
      <c r="A148" s="5">
        <v>45804</v>
      </c>
      <c r="B148" t="s">
        <v>9</v>
      </c>
      <c r="C148" t="s">
        <v>49</v>
      </c>
      <c r="D148" t="s">
        <v>44</v>
      </c>
      <c r="E148">
        <v>105</v>
      </c>
      <c r="F148" s="4">
        <v>43.36</v>
      </c>
      <c r="G148" s="4">
        <f>E148*F148</f>
      </c>
      <c r="H148" s="6">
        <v>0.43</v>
      </c>
    </row>
    <row r="149">
      <c r="A149" s="5">
        <v>45805</v>
      </c>
      <c r="B149" t="s">
        <v>11</v>
      </c>
      <c r="C149" t="s">
        <v>43</v>
      </c>
      <c r="D149" t="s">
        <v>51</v>
      </c>
      <c r="E149">
        <v>42</v>
      </c>
      <c r="F149" s="4">
        <v>94.19</v>
      </c>
      <c r="G149" s="4">
        <f>E149*F149</f>
      </c>
      <c r="H149" s="6">
        <v>0.466</v>
      </c>
    </row>
    <row r="150">
      <c r="A150" s="5">
        <v>45806</v>
      </c>
      <c r="B150" t="s">
        <v>9</v>
      </c>
      <c r="C150" t="s">
        <v>47</v>
      </c>
      <c r="D150" t="s">
        <v>52</v>
      </c>
      <c r="E150">
        <v>56</v>
      </c>
      <c r="F150" s="4">
        <v>16.81</v>
      </c>
      <c r="G150" s="4">
        <f>E150*F150</f>
      </c>
      <c r="H150" s="6">
        <v>0.448</v>
      </c>
    </row>
    <row r="151">
      <c r="A151" s="5">
        <v>45807</v>
      </c>
      <c r="B151" t="s">
        <v>11</v>
      </c>
      <c r="C151" t="s">
        <v>47</v>
      </c>
      <c r="D151" t="s">
        <v>52</v>
      </c>
      <c r="E151">
        <v>97</v>
      </c>
      <c r="F151" s="4">
        <v>86.58</v>
      </c>
      <c r="G151" s="4">
        <f>E151*F151</f>
      </c>
      <c r="H151" s="6">
        <v>0.375</v>
      </c>
    </row>
    <row r="152">
      <c r="A152" s="5">
        <v>45808</v>
      </c>
      <c r="B152" t="s">
        <v>10</v>
      </c>
      <c r="C152" t="s">
        <v>49</v>
      </c>
      <c r="D152" t="s">
        <v>52</v>
      </c>
      <c r="E152">
        <v>94</v>
      </c>
      <c r="F152" s="4">
        <v>19.47</v>
      </c>
      <c r="G152" s="4">
        <f>E152*F152</f>
      </c>
      <c r="H152" s="6">
        <v>0.137</v>
      </c>
    </row>
    <row r="153">
      <c r="A153" s="5">
        <v>45809</v>
      </c>
      <c r="B153" t="s">
        <v>8</v>
      </c>
      <c r="C153" t="s">
        <v>45</v>
      </c>
      <c r="D153" t="s">
        <v>42</v>
      </c>
      <c r="E153">
        <v>157</v>
      </c>
      <c r="F153" s="4">
        <v>32.23</v>
      </c>
      <c r="G153" s="4">
        <f>E153*F153</f>
      </c>
      <c r="H153" s="6">
        <v>0.409</v>
      </c>
    </row>
    <row r="154">
      <c r="A154" s="5">
        <v>45810</v>
      </c>
      <c r="B154" t="s">
        <v>11</v>
      </c>
      <c r="C154" t="s">
        <v>45</v>
      </c>
      <c r="D154" t="s">
        <v>50</v>
      </c>
      <c r="E154">
        <v>114</v>
      </c>
      <c r="F154" s="4">
        <v>21.31</v>
      </c>
      <c r="G154" s="4">
        <f>E154*F154</f>
      </c>
      <c r="H154" s="6">
        <v>0.409</v>
      </c>
    </row>
    <row r="155">
      <c r="A155" s="5">
        <v>45811</v>
      </c>
      <c r="B155" t="s">
        <v>8</v>
      </c>
      <c r="C155" t="s">
        <v>41</v>
      </c>
      <c r="D155" t="s">
        <v>46</v>
      </c>
      <c r="E155">
        <v>95</v>
      </c>
      <c r="F155" s="4">
        <v>96.89</v>
      </c>
      <c r="G155" s="4">
        <f>E155*F155</f>
      </c>
      <c r="H155" s="6">
        <v>0.169</v>
      </c>
    </row>
    <row r="156">
      <c r="A156" s="5">
        <v>45812</v>
      </c>
      <c r="B156" t="s">
        <v>10</v>
      </c>
      <c r="C156" t="s">
        <v>41</v>
      </c>
      <c r="D156" t="s">
        <v>44</v>
      </c>
      <c r="E156">
        <v>156</v>
      </c>
      <c r="F156" s="4">
        <v>63.82</v>
      </c>
      <c r="G156" s="4">
        <f>E156*F156</f>
      </c>
      <c r="H156" s="6">
        <v>0.228</v>
      </c>
    </row>
    <row r="157">
      <c r="A157" s="5">
        <v>45813</v>
      </c>
      <c r="B157" t="s">
        <v>8</v>
      </c>
      <c r="C157" t="s">
        <v>49</v>
      </c>
      <c r="D157" t="s">
        <v>44</v>
      </c>
      <c r="E157">
        <v>75</v>
      </c>
      <c r="F157" s="4">
        <v>64.69</v>
      </c>
      <c r="G157" s="4">
        <f>E157*F157</f>
      </c>
      <c r="H157" s="6">
        <v>0.19</v>
      </c>
    </row>
    <row r="158">
      <c r="A158" s="5">
        <v>45814</v>
      </c>
      <c r="B158" t="s">
        <v>10</v>
      </c>
      <c r="C158" t="s">
        <v>47</v>
      </c>
      <c r="D158" t="s">
        <v>48</v>
      </c>
      <c r="E158">
        <v>195</v>
      </c>
      <c r="F158" s="4">
        <v>31.24</v>
      </c>
      <c r="G158" s="4">
        <f>E158*F158</f>
      </c>
      <c r="H158" s="6">
        <v>0.322</v>
      </c>
    </row>
    <row r="159">
      <c r="A159" s="5">
        <v>45815</v>
      </c>
      <c r="B159" t="s">
        <v>8</v>
      </c>
      <c r="C159" t="s">
        <v>47</v>
      </c>
      <c r="D159" t="s">
        <v>44</v>
      </c>
      <c r="E159">
        <v>187</v>
      </c>
      <c r="F159" s="4">
        <v>75.61</v>
      </c>
      <c r="G159" s="4">
        <f>E159*F159</f>
      </c>
      <c r="H159" s="6">
        <v>0.407</v>
      </c>
    </row>
    <row r="160">
      <c r="A160" s="5">
        <v>45816</v>
      </c>
      <c r="B160" t="s">
        <v>10</v>
      </c>
      <c r="C160" t="s">
        <v>49</v>
      </c>
      <c r="D160" t="s">
        <v>46</v>
      </c>
      <c r="E160">
        <v>126</v>
      </c>
      <c r="F160" s="4">
        <v>99.45</v>
      </c>
      <c r="G160" s="4">
        <f>E160*F160</f>
      </c>
      <c r="H160" s="6">
        <v>0.398</v>
      </c>
    </row>
    <row r="161">
      <c r="A161" s="5">
        <v>45817</v>
      </c>
      <c r="B161" t="s">
        <v>10</v>
      </c>
      <c r="C161" t="s">
        <v>53</v>
      </c>
      <c r="D161" t="s">
        <v>48</v>
      </c>
      <c r="E161">
        <v>107</v>
      </c>
      <c r="F161" s="4">
        <v>69.94</v>
      </c>
      <c r="G161" s="4">
        <f>E161*F161</f>
      </c>
      <c r="H161" s="6">
        <v>0.18</v>
      </c>
    </row>
    <row r="162">
      <c r="A162" s="5">
        <v>45818</v>
      </c>
      <c r="B162" t="s">
        <v>11</v>
      </c>
      <c r="C162" t="s">
        <v>45</v>
      </c>
      <c r="D162" t="s">
        <v>50</v>
      </c>
      <c r="E162">
        <v>101</v>
      </c>
      <c r="F162" s="4">
        <v>19.09</v>
      </c>
      <c r="G162" s="4">
        <f>E162*F162</f>
      </c>
      <c r="H162" s="6">
        <v>0.28</v>
      </c>
    </row>
    <row r="163">
      <c r="A163" s="5">
        <v>45819</v>
      </c>
      <c r="B163" t="s">
        <v>10</v>
      </c>
      <c r="C163" t="s">
        <v>53</v>
      </c>
      <c r="D163" t="s">
        <v>50</v>
      </c>
      <c r="E163">
        <v>188</v>
      </c>
      <c r="F163" s="4">
        <v>90.05</v>
      </c>
      <c r="G163" s="4">
        <f>E163*F163</f>
      </c>
      <c r="H163" s="6">
        <v>0.097</v>
      </c>
    </row>
    <row r="164">
      <c r="A164" s="5">
        <v>45820</v>
      </c>
      <c r="B164" t="s">
        <v>10</v>
      </c>
      <c r="C164" t="s">
        <v>53</v>
      </c>
      <c r="D164" t="s">
        <v>48</v>
      </c>
      <c r="E164">
        <v>172</v>
      </c>
      <c r="F164" s="4">
        <v>61.54</v>
      </c>
      <c r="G164" s="4">
        <f>E164*F164</f>
      </c>
      <c r="H164" s="6">
        <v>0.325</v>
      </c>
    </row>
    <row r="165">
      <c r="A165" s="5">
        <v>45821</v>
      </c>
      <c r="B165" t="s">
        <v>9</v>
      </c>
      <c r="C165" t="s">
        <v>47</v>
      </c>
      <c r="D165" t="s">
        <v>48</v>
      </c>
      <c r="E165">
        <v>151</v>
      </c>
      <c r="F165" s="4">
        <v>97.07</v>
      </c>
      <c r="G165" s="4">
        <f>E165*F165</f>
      </c>
      <c r="H165" s="6">
        <v>0.198</v>
      </c>
    </row>
    <row r="166">
      <c r="A166" s="5">
        <v>45822</v>
      </c>
      <c r="B166" t="s">
        <v>8</v>
      </c>
      <c r="C166" t="s">
        <v>43</v>
      </c>
      <c r="D166" t="s">
        <v>50</v>
      </c>
      <c r="E166">
        <v>171</v>
      </c>
      <c r="F166" s="4">
        <v>84.19</v>
      </c>
      <c r="G166" s="4">
        <f>E166*F166</f>
      </c>
      <c r="H166" s="6">
        <v>0.362</v>
      </c>
    </row>
    <row r="167">
      <c r="A167" s="5">
        <v>45823</v>
      </c>
      <c r="B167" t="s">
        <v>11</v>
      </c>
      <c r="C167" t="s">
        <v>45</v>
      </c>
      <c r="D167" t="s">
        <v>50</v>
      </c>
      <c r="E167">
        <v>59</v>
      </c>
      <c r="F167" s="4">
        <v>15.46</v>
      </c>
      <c r="G167" s="4">
        <f>E167*F167</f>
      </c>
      <c r="H167" s="6">
        <v>0.223</v>
      </c>
    </row>
    <row r="168">
      <c r="A168" s="5">
        <v>45824</v>
      </c>
      <c r="B168" t="s">
        <v>9</v>
      </c>
      <c r="C168" t="s">
        <v>47</v>
      </c>
      <c r="D168" t="s">
        <v>48</v>
      </c>
      <c r="E168">
        <v>144</v>
      </c>
      <c r="F168" s="4">
        <v>34.57</v>
      </c>
      <c r="G168" s="4">
        <f>E168*F168</f>
      </c>
      <c r="H168" s="6">
        <v>0.346</v>
      </c>
    </row>
    <row r="169">
      <c r="A169" s="5">
        <v>45825</v>
      </c>
      <c r="B169" t="s">
        <v>9</v>
      </c>
      <c r="C169" t="s">
        <v>41</v>
      </c>
      <c r="D169" t="s">
        <v>44</v>
      </c>
      <c r="E169">
        <v>98</v>
      </c>
      <c r="F169" s="4">
        <v>58.34</v>
      </c>
      <c r="G169" s="4">
        <f>E169*F169</f>
      </c>
      <c r="H169" s="6">
        <v>0.105</v>
      </c>
    </row>
    <row r="170">
      <c r="A170" s="5">
        <v>45826</v>
      </c>
      <c r="B170" t="s">
        <v>11</v>
      </c>
      <c r="C170" t="s">
        <v>41</v>
      </c>
      <c r="D170" t="s">
        <v>51</v>
      </c>
      <c r="E170">
        <v>106</v>
      </c>
      <c r="F170" s="4">
        <v>40.01</v>
      </c>
      <c r="G170" s="4">
        <f>E170*F170</f>
      </c>
      <c r="H170" s="6">
        <v>0.21</v>
      </c>
    </row>
    <row r="171">
      <c r="A171" s="5">
        <v>45827</v>
      </c>
      <c r="B171" t="s">
        <v>9</v>
      </c>
      <c r="C171" t="s">
        <v>45</v>
      </c>
      <c r="D171" t="s">
        <v>46</v>
      </c>
      <c r="E171">
        <v>142</v>
      </c>
      <c r="F171" s="4">
        <v>54.86</v>
      </c>
      <c r="G171" s="4">
        <f>E171*F171</f>
      </c>
      <c r="H171" s="6">
        <v>0.438</v>
      </c>
    </row>
    <row r="172">
      <c r="A172" s="5">
        <v>45828</v>
      </c>
      <c r="B172" t="s">
        <v>11</v>
      </c>
      <c r="C172" t="s">
        <v>49</v>
      </c>
      <c r="D172" t="s">
        <v>51</v>
      </c>
      <c r="E172">
        <v>46</v>
      </c>
      <c r="F172" s="4">
        <v>72.08</v>
      </c>
      <c r="G172" s="4">
        <f>E172*F172</f>
      </c>
      <c r="H172" s="6">
        <v>0.406</v>
      </c>
    </row>
    <row r="173">
      <c r="A173" s="5">
        <v>45829</v>
      </c>
      <c r="B173" t="s">
        <v>8</v>
      </c>
      <c r="C173" t="s">
        <v>53</v>
      </c>
      <c r="D173" t="s">
        <v>51</v>
      </c>
      <c r="E173">
        <v>110</v>
      </c>
      <c r="F173" s="4">
        <v>33.32</v>
      </c>
      <c r="G173" s="4">
        <f>E173*F173</f>
      </c>
      <c r="H173" s="6">
        <v>0.199</v>
      </c>
    </row>
    <row r="174">
      <c r="A174" s="5">
        <v>45830</v>
      </c>
      <c r="B174" t="s">
        <v>9</v>
      </c>
      <c r="C174" t="s">
        <v>49</v>
      </c>
      <c r="D174" t="s">
        <v>51</v>
      </c>
      <c r="E174">
        <v>37</v>
      </c>
      <c r="F174" s="4">
        <v>64.06</v>
      </c>
      <c r="G174" s="4">
        <f>E174*F174</f>
      </c>
      <c r="H174" s="6">
        <v>0.306</v>
      </c>
    </row>
    <row r="175">
      <c r="A175" s="5">
        <v>45831</v>
      </c>
      <c r="B175" t="s">
        <v>11</v>
      </c>
      <c r="C175" t="s">
        <v>53</v>
      </c>
      <c r="D175" t="s">
        <v>44</v>
      </c>
      <c r="E175">
        <v>56</v>
      </c>
      <c r="F175" s="4">
        <v>93.33</v>
      </c>
      <c r="G175" s="4">
        <f>E175*F175</f>
      </c>
      <c r="H175" s="6">
        <v>0.373</v>
      </c>
    </row>
    <row r="176">
      <c r="A176" s="5">
        <v>45832</v>
      </c>
      <c r="B176" t="s">
        <v>8</v>
      </c>
      <c r="C176" t="s">
        <v>41</v>
      </c>
      <c r="D176" t="s">
        <v>51</v>
      </c>
      <c r="E176">
        <v>24</v>
      </c>
      <c r="F176" s="4">
        <v>64.08</v>
      </c>
      <c r="G176" s="4">
        <f>E176*F176</f>
      </c>
      <c r="H176" s="6">
        <v>0.126</v>
      </c>
    </row>
    <row r="177">
      <c r="A177" s="5">
        <v>45833</v>
      </c>
      <c r="B177" t="s">
        <v>8</v>
      </c>
      <c r="C177" t="s">
        <v>47</v>
      </c>
      <c r="D177" t="s">
        <v>48</v>
      </c>
      <c r="E177">
        <v>137</v>
      </c>
      <c r="F177" s="4">
        <v>74.18</v>
      </c>
      <c r="G177" s="4">
        <f>E177*F177</f>
      </c>
      <c r="H177" s="6">
        <v>0.403</v>
      </c>
    </row>
    <row r="178">
      <c r="A178" s="5">
        <v>45834</v>
      </c>
      <c r="B178" t="s">
        <v>9</v>
      </c>
      <c r="C178" t="s">
        <v>41</v>
      </c>
      <c r="D178" t="s">
        <v>50</v>
      </c>
      <c r="E178">
        <v>197</v>
      </c>
      <c r="F178" s="4">
        <v>65.36</v>
      </c>
      <c r="G178" s="4">
        <f>E178*F178</f>
      </c>
      <c r="H178" s="6">
        <v>0.187</v>
      </c>
    </row>
    <row r="179">
      <c r="A179" s="5">
        <v>45835</v>
      </c>
      <c r="B179" t="s">
        <v>10</v>
      </c>
      <c r="C179" t="s">
        <v>49</v>
      </c>
      <c r="D179" t="s">
        <v>42</v>
      </c>
      <c r="E179">
        <v>162</v>
      </c>
      <c r="F179" s="4">
        <v>26.36</v>
      </c>
      <c r="G179" s="4">
        <f>E179*F179</f>
      </c>
      <c r="H179" s="6">
        <v>0.277</v>
      </c>
    </row>
    <row r="180">
      <c r="A180" s="5">
        <v>45836</v>
      </c>
      <c r="B180" t="s">
        <v>8</v>
      </c>
      <c r="C180" t="s">
        <v>45</v>
      </c>
      <c r="D180" t="s">
        <v>42</v>
      </c>
      <c r="E180">
        <v>139</v>
      </c>
      <c r="F180" s="4">
        <v>63.58</v>
      </c>
      <c r="G180" s="4">
        <f>E180*F180</f>
      </c>
      <c r="H180" s="6">
        <v>0.21</v>
      </c>
    </row>
    <row r="181">
      <c r="A181" s="5">
        <v>45837</v>
      </c>
      <c r="B181" t="s">
        <v>11</v>
      </c>
      <c r="C181" t="s">
        <v>41</v>
      </c>
      <c r="D181" t="s">
        <v>46</v>
      </c>
      <c r="E181">
        <v>174</v>
      </c>
      <c r="F181" s="4">
        <v>41.8</v>
      </c>
      <c r="G181" s="4">
        <f>E181*F181</f>
      </c>
      <c r="H181" s="6">
        <v>0.115</v>
      </c>
    </row>
    <row r="182">
      <c r="A182" s="5">
        <v>45838</v>
      </c>
      <c r="B182" t="s">
        <v>10</v>
      </c>
      <c r="C182" t="s">
        <v>53</v>
      </c>
      <c r="D182" t="s">
        <v>52</v>
      </c>
      <c r="E182">
        <v>89</v>
      </c>
      <c r="F182" s="4">
        <v>51.17</v>
      </c>
      <c r="G182" s="4">
        <f>E182*F182</f>
      </c>
      <c r="H182" s="6">
        <v>0.456</v>
      </c>
    </row>
    <row r="183">
      <c r="A183" s="5">
        <v>45839</v>
      </c>
      <c r="B183" t="s">
        <v>10</v>
      </c>
      <c r="C183" t="s">
        <v>45</v>
      </c>
      <c r="D183" t="s">
        <v>48</v>
      </c>
      <c r="E183">
        <v>67</v>
      </c>
      <c r="F183" s="4">
        <v>55.21</v>
      </c>
      <c r="G183" s="4">
        <f>E183*F183</f>
      </c>
      <c r="H183" s="6">
        <v>0.137</v>
      </c>
    </row>
    <row r="184">
      <c r="A184" s="5">
        <v>45840</v>
      </c>
      <c r="B184" t="s">
        <v>11</v>
      </c>
      <c r="C184" t="s">
        <v>45</v>
      </c>
      <c r="D184" t="s">
        <v>44</v>
      </c>
      <c r="E184">
        <v>29</v>
      </c>
      <c r="F184" s="4">
        <v>83.18</v>
      </c>
      <c r="G184" s="4">
        <f>E184*F184</f>
      </c>
      <c r="H184" s="6">
        <v>0.395</v>
      </c>
    </row>
    <row r="185">
      <c r="A185" s="5">
        <v>45841</v>
      </c>
      <c r="B185" t="s">
        <v>9</v>
      </c>
      <c r="C185" t="s">
        <v>53</v>
      </c>
      <c r="D185" t="s">
        <v>50</v>
      </c>
      <c r="E185">
        <v>154</v>
      </c>
      <c r="F185" s="4">
        <v>61.19</v>
      </c>
      <c r="G185" s="4">
        <f>E185*F185</f>
      </c>
      <c r="H185" s="6">
        <v>0.354</v>
      </c>
    </row>
    <row r="186">
      <c r="A186" s="5">
        <v>45842</v>
      </c>
      <c r="B186" t="s">
        <v>9</v>
      </c>
      <c r="C186" t="s">
        <v>53</v>
      </c>
      <c r="D186" t="s">
        <v>42</v>
      </c>
      <c r="E186">
        <v>69</v>
      </c>
      <c r="F186" s="4">
        <v>37.05</v>
      </c>
      <c r="G186" s="4">
        <f>E186*F186</f>
      </c>
      <c r="H186" s="6">
        <v>0.407</v>
      </c>
    </row>
    <row r="187">
      <c r="A187" s="5">
        <v>45843</v>
      </c>
      <c r="B187" t="s">
        <v>8</v>
      </c>
      <c r="C187" t="s">
        <v>45</v>
      </c>
      <c r="D187" t="s">
        <v>46</v>
      </c>
      <c r="E187">
        <v>134</v>
      </c>
      <c r="F187" s="4">
        <v>45.56</v>
      </c>
      <c r="G187" s="4">
        <f>E187*F187</f>
      </c>
      <c r="H187" s="6">
        <v>0.473</v>
      </c>
    </row>
    <row r="188">
      <c r="A188" s="5">
        <v>45844</v>
      </c>
      <c r="B188" t="s">
        <v>10</v>
      </c>
      <c r="C188" t="s">
        <v>41</v>
      </c>
      <c r="D188" t="s">
        <v>52</v>
      </c>
      <c r="E188">
        <v>143</v>
      </c>
      <c r="F188" s="4">
        <v>29.92</v>
      </c>
      <c r="G188" s="4">
        <f>E188*F188</f>
      </c>
      <c r="H188" s="6">
        <v>0.43</v>
      </c>
    </row>
    <row r="189">
      <c r="A189" s="5">
        <v>45845</v>
      </c>
      <c r="B189" t="s">
        <v>11</v>
      </c>
      <c r="C189" t="s">
        <v>41</v>
      </c>
      <c r="D189" t="s">
        <v>51</v>
      </c>
      <c r="E189">
        <v>47</v>
      </c>
      <c r="F189" s="4">
        <v>85.98</v>
      </c>
      <c r="G189" s="4">
        <f>E189*F189</f>
      </c>
      <c r="H189" s="6">
        <v>0.164</v>
      </c>
    </row>
    <row r="190">
      <c r="A190" s="5">
        <v>45846</v>
      </c>
      <c r="B190" t="s">
        <v>9</v>
      </c>
      <c r="C190" t="s">
        <v>49</v>
      </c>
      <c r="D190" t="s">
        <v>52</v>
      </c>
      <c r="E190">
        <v>192</v>
      </c>
      <c r="F190" s="4">
        <v>27.8</v>
      </c>
      <c r="G190" s="4">
        <f>E190*F190</f>
      </c>
      <c r="H190" s="6">
        <v>0.352</v>
      </c>
    </row>
    <row r="191">
      <c r="A191" s="5">
        <v>45847</v>
      </c>
      <c r="B191" t="s">
        <v>9</v>
      </c>
      <c r="C191" t="s">
        <v>53</v>
      </c>
      <c r="D191" t="s">
        <v>48</v>
      </c>
      <c r="E191">
        <v>194</v>
      </c>
      <c r="F191" s="4">
        <v>52.39</v>
      </c>
      <c r="G191" s="4">
        <f>E191*F191</f>
      </c>
      <c r="H191" s="6">
        <v>0.415</v>
      </c>
    </row>
    <row r="192">
      <c r="A192" s="5">
        <v>45848</v>
      </c>
      <c r="B192" t="s">
        <v>9</v>
      </c>
      <c r="C192" t="s">
        <v>43</v>
      </c>
      <c r="D192" t="s">
        <v>51</v>
      </c>
      <c r="E192">
        <v>124</v>
      </c>
      <c r="F192" s="4">
        <v>89.89</v>
      </c>
      <c r="G192" s="4">
        <f>E192*F192</f>
      </c>
      <c r="H192" s="6">
        <v>0.167</v>
      </c>
    </row>
    <row r="193">
      <c r="A193" s="5">
        <v>45849</v>
      </c>
      <c r="B193" t="s">
        <v>11</v>
      </c>
      <c r="C193" t="s">
        <v>53</v>
      </c>
      <c r="D193" t="s">
        <v>52</v>
      </c>
      <c r="E193">
        <v>89</v>
      </c>
      <c r="F193" s="4">
        <v>56.2</v>
      </c>
      <c r="G193" s="4">
        <f>E193*F193</f>
      </c>
      <c r="H193" s="6">
        <v>0.447</v>
      </c>
    </row>
    <row r="194">
      <c r="A194" s="5">
        <v>45850</v>
      </c>
      <c r="B194" t="s">
        <v>8</v>
      </c>
      <c r="C194" t="s">
        <v>53</v>
      </c>
      <c r="D194" t="s">
        <v>46</v>
      </c>
      <c r="E194">
        <v>81</v>
      </c>
      <c r="F194" s="4">
        <v>98.01</v>
      </c>
      <c r="G194" s="4">
        <f>E194*F194</f>
      </c>
      <c r="H194" s="6">
        <v>0.457</v>
      </c>
    </row>
    <row r="195">
      <c r="A195" s="5">
        <v>45851</v>
      </c>
      <c r="B195" t="s">
        <v>8</v>
      </c>
      <c r="C195" t="s">
        <v>53</v>
      </c>
      <c r="D195" t="s">
        <v>44</v>
      </c>
      <c r="E195">
        <v>165</v>
      </c>
      <c r="F195" s="4">
        <v>74.88</v>
      </c>
      <c r="G195" s="4">
        <f>E195*F195</f>
      </c>
      <c r="H195" s="6">
        <v>0.421</v>
      </c>
    </row>
    <row r="196">
      <c r="A196" s="5">
        <v>45852</v>
      </c>
      <c r="B196" t="s">
        <v>8</v>
      </c>
      <c r="C196" t="s">
        <v>45</v>
      </c>
      <c r="D196" t="s">
        <v>44</v>
      </c>
      <c r="E196">
        <v>8</v>
      </c>
      <c r="F196" s="4">
        <v>50.47</v>
      </c>
      <c r="G196" s="4">
        <f>E196*F196</f>
      </c>
      <c r="H196" s="6">
        <v>0.406</v>
      </c>
    </row>
    <row r="197">
      <c r="A197" s="5">
        <v>45853</v>
      </c>
      <c r="B197" t="s">
        <v>9</v>
      </c>
      <c r="C197" t="s">
        <v>47</v>
      </c>
      <c r="D197" t="s">
        <v>48</v>
      </c>
      <c r="E197">
        <v>127</v>
      </c>
      <c r="F197" s="4">
        <v>67.14</v>
      </c>
      <c r="G197" s="4">
        <f>E197*F197</f>
      </c>
      <c r="H197" s="6">
        <v>0.195</v>
      </c>
    </row>
    <row r="198">
      <c r="A198" s="5">
        <v>45854</v>
      </c>
      <c r="B198" t="s">
        <v>10</v>
      </c>
      <c r="C198" t="s">
        <v>45</v>
      </c>
      <c r="D198" t="s">
        <v>44</v>
      </c>
      <c r="E198">
        <v>158</v>
      </c>
      <c r="F198" s="4">
        <v>76.12</v>
      </c>
      <c r="G198" s="4">
        <f>E198*F198</f>
      </c>
      <c r="H198" s="6">
        <v>0.369</v>
      </c>
    </row>
    <row r="199">
      <c r="A199" s="5">
        <v>45855</v>
      </c>
      <c r="B199" t="s">
        <v>10</v>
      </c>
      <c r="C199" t="s">
        <v>49</v>
      </c>
      <c r="D199" t="s">
        <v>52</v>
      </c>
      <c r="E199">
        <v>60</v>
      </c>
      <c r="F199" s="4">
        <v>64.34</v>
      </c>
      <c r="G199" s="4">
        <f>E199*F199</f>
      </c>
      <c r="H199" s="6">
        <v>0.252</v>
      </c>
    </row>
    <row r="200">
      <c r="A200" s="5">
        <v>45856</v>
      </c>
      <c r="B200" t="s">
        <v>9</v>
      </c>
      <c r="C200" t="s">
        <v>41</v>
      </c>
      <c r="D200" t="s">
        <v>50</v>
      </c>
      <c r="E200">
        <v>79</v>
      </c>
      <c r="F200" s="4">
        <v>95.76</v>
      </c>
      <c r="G200" s="4">
        <f>E200*F200</f>
      </c>
      <c r="H200" s="6">
        <v>0.321</v>
      </c>
    </row>
    <row r="201">
      <c r="A201" s="5">
        <v>45857</v>
      </c>
      <c r="B201" t="s">
        <v>9</v>
      </c>
      <c r="C201" t="s">
        <v>47</v>
      </c>
      <c r="D201" t="s">
        <v>42</v>
      </c>
      <c r="E201">
        <v>45</v>
      </c>
      <c r="F201" s="4">
        <v>29.36</v>
      </c>
      <c r="G201" s="4">
        <f>E201*F201</f>
      </c>
      <c r="H201" s="6">
        <v>0.308</v>
      </c>
    </row>
    <row r="202">
      <c r="A202" s="5">
        <v>45858</v>
      </c>
      <c r="B202" t="s">
        <v>11</v>
      </c>
      <c r="C202" t="s">
        <v>45</v>
      </c>
      <c r="D202" t="s">
        <v>52</v>
      </c>
      <c r="E202">
        <v>167</v>
      </c>
      <c r="F202" s="4">
        <v>25.42</v>
      </c>
      <c r="G202" s="4">
        <f>E202*F202</f>
      </c>
      <c r="H202" s="6">
        <v>0.376</v>
      </c>
    </row>
    <row r="203">
      <c r="A203" s="5">
        <v>45859</v>
      </c>
      <c r="B203" t="s">
        <v>9</v>
      </c>
      <c r="C203" t="s">
        <v>49</v>
      </c>
      <c r="D203" t="s">
        <v>51</v>
      </c>
      <c r="E203">
        <v>7</v>
      </c>
      <c r="F203" s="4">
        <v>95.9</v>
      </c>
      <c r="G203" s="4">
        <f>E203*F203</f>
      </c>
      <c r="H203" s="6">
        <v>0.344</v>
      </c>
    </row>
    <row r="204">
      <c r="A204" s="5">
        <v>45860</v>
      </c>
      <c r="B204" t="s">
        <v>8</v>
      </c>
      <c r="C204" t="s">
        <v>49</v>
      </c>
      <c r="D204" t="s">
        <v>50</v>
      </c>
      <c r="E204">
        <v>38</v>
      </c>
      <c r="F204" s="4">
        <v>85.46</v>
      </c>
      <c r="G204" s="4">
        <f>E204*F204</f>
      </c>
      <c r="H204" s="6">
        <v>0.46</v>
      </c>
    </row>
    <row r="205">
      <c r="A205" s="5">
        <v>45861</v>
      </c>
      <c r="B205" t="s">
        <v>11</v>
      </c>
      <c r="C205" t="s">
        <v>47</v>
      </c>
      <c r="D205" t="s">
        <v>42</v>
      </c>
      <c r="E205">
        <v>73</v>
      </c>
      <c r="F205" s="4">
        <v>40.53</v>
      </c>
      <c r="G205" s="4">
        <f>E205*F205</f>
      </c>
      <c r="H205" s="6">
        <v>0.179</v>
      </c>
    </row>
    <row r="206">
      <c r="A206" s="5">
        <v>45862</v>
      </c>
      <c r="B206" t="s">
        <v>11</v>
      </c>
      <c r="C206" t="s">
        <v>43</v>
      </c>
      <c r="D206" t="s">
        <v>50</v>
      </c>
      <c r="E206">
        <v>40</v>
      </c>
      <c r="F206" s="4">
        <v>92.63</v>
      </c>
      <c r="G206" s="4">
        <f>E206*F206</f>
      </c>
      <c r="H206" s="6">
        <v>0.443</v>
      </c>
    </row>
    <row r="207">
      <c r="A207" s="5">
        <v>45863</v>
      </c>
      <c r="B207" t="s">
        <v>11</v>
      </c>
      <c r="C207" t="s">
        <v>49</v>
      </c>
      <c r="D207" t="s">
        <v>48</v>
      </c>
      <c r="E207">
        <v>177</v>
      </c>
      <c r="F207" s="4">
        <v>34.53</v>
      </c>
      <c r="G207" s="4">
        <f>E207*F207</f>
      </c>
      <c r="H207" s="6">
        <v>0.234</v>
      </c>
    </row>
    <row r="208">
      <c r="A208" s="5">
        <v>45864</v>
      </c>
      <c r="B208" t="s">
        <v>11</v>
      </c>
      <c r="C208" t="s">
        <v>47</v>
      </c>
      <c r="D208" t="s">
        <v>52</v>
      </c>
      <c r="E208">
        <v>199</v>
      </c>
      <c r="F208" s="4">
        <v>18.36</v>
      </c>
      <c r="G208" s="4">
        <f>E208*F208</f>
      </c>
      <c r="H208" s="6">
        <v>0.472</v>
      </c>
    </row>
    <row r="209">
      <c r="A209" s="5">
        <v>45865</v>
      </c>
      <c r="B209" t="s">
        <v>10</v>
      </c>
      <c r="C209" t="s">
        <v>45</v>
      </c>
      <c r="D209" t="s">
        <v>44</v>
      </c>
      <c r="E209">
        <v>127</v>
      </c>
      <c r="F209" s="4">
        <v>66.97</v>
      </c>
      <c r="G209" s="4">
        <f>E209*F209</f>
      </c>
      <c r="H209" s="6">
        <v>0.251</v>
      </c>
    </row>
    <row r="210">
      <c r="A210" s="5">
        <v>45866</v>
      </c>
      <c r="B210" t="s">
        <v>8</v>
      </c>
      <c r="C210" t="s">
        <v>49</v>
      </c>
      <c r="D210" t="s">
        <v>51</v>
      </c>
      <c r="E210">
        <v>132</v>
      </c>
      <c r="F210" s="4">
        <v>74.76</v>
      </c>
      <c r="G210" s="4">
        <f>E210*F210</f>
      </c>
      <c r="H210" s="6">
        <v>0.15</v>
      </c>
    </row>
    <row r="211">
      <c r="A211" s="5">
        <v>45867</v>
      </c>
      <c r="B211" t="s">
        <v>10</v>
      </c>
      <c r="C211" t="s">
        <v>43</v>
      </c>
      <c r="D211" t="s">
        <v>50</v>
      </c>
      <c r="E211">
        <v>47</v>
      </c>
      <c r="F211" s="4">
        <v>67.53</v>
      </c>
      <c r="G211" s="4">
        <f>E211*F211</f>
      </c>
      <c r="H211" s="6">
        <v>0.47</v>
      </c>
    </row>
    <row r="212">
      <c r="A212" s="5">
        <v>45868</v>
      </c>
      <c r="B212" t="s">
        <v>11</v>
      </c>
      <c r="C212" t="s">
        <v>41</v>
      </c>
      <c r="D212" t="s">
        <v>50</v>
      </c>
      <c r="E212">
        <v>165</v>
      </c>
      <c r="F212" s="4">
        <v>30.6</v>
      </c>
      <c r="G212" s="4">
        <f>E212*F212</f>
      </c>
      <c r="H212" s="6">
        <v>0.429</v>
      </c>
    </row>
    <row r="213">
      <c r="A213" s="5">
        <v>45869</v>
      </c>
      <c r="B213" t="s">
        <v>10</v>
      </c>
      <c r="C213" t="s">
        <v>49</v>
      </c>
      <c r="D213" t="s">
        <v>51</v>
      </c>
      <c r="E213">
        <v>38</v>
      </c>
      <c r="F213" s="4">
        <v>16.38</v>
      </c>
      <c r="G213" s="4">
        <f>E213*F213</f>
      </c>
      <c r="H213" s="6">
        <v>0.127</v>
      </c>
    </row>
    <row r="214">
      <c r="A214" s="5">
        <v>45870</v>
      </c>
      <c r="B214" t="s">
        <v>9</v>
      </c>
      <c r="C214" t="s">
        <v>45</v>
      </c>
      <c r="D214" t="s">
        <v>44</v>
      </c>
      <c r="E214">
        <v>186</v>
      </c>
      <c r="F214" s="4">
        <v>29.34</v>
      </c>
      <c r="G214" s="4">
        <f>E214*F214</f>
      </c>
      <c r="H214" s="6">
        <v>0.289</v>
      </c>
    </row>
    <row r="215">
      <c r="A215" s="5">
        <v>45871</v>
      </c>
      <c r="B215" t="s">
        <v>8</v>
      </c>
      <c r="C215" t="s">
        <v>47</v>
      </c>
      <c r="D215" t="s">
        <v>42</v>
      </c>
      <c r="E215">
        <v>54</v>
      </c>
      <c r="F215" s="4">
        <v>17.35</v>
      </c>
      <c r="G215" s="4">
        <f>E215*F215</f>
      </c>
      <c r="H215" s="6">
        <v>0.087</v>
      </c>
    </row>
    <row r="216">
      <c r="A216" s="5">
        <v>45872</v>
      </c>
      <c r="B216" t="s">
        <v>8</v>
      </c>
      <c r="C216" t="s">
        <v>47</v>
      </c>
      <c r="D216" t="s">
        <v>44</v>
      </c>
      <c r="E216">
        <v>182</v>
      </c>
      <c r="F216" s="4">
        <v>96.25</v>
      </c>
      <c r="G216" s="4">
        <f>E216*F216</f>
      </c>
      <c r="H216" s="6">
        <v>0.436</v>
      </c>
    </row>
    <row r="217">
      <c r="A217" s="5">
        <v>45873</v>
      </c>
      <c r="B217" t="s">
        <v>9</v>
      </c>
      <c r="C217" t="s">
        <v>53</v>
      </c>
      <c r="D217" t="s">
        <v>46</v>
      </c>
      <c r="E217">
        <v>82</v>
      </c>
      <c r="F217" s="4">
        <v>37.39</v>
      </c>
      <c r="G217" s="4">
        <f>E217*F217</f>
      </c>
      <c r="H217" s="6">
        <v>0.187</v>
      </c>
    </row>
    <row r="218">
      <c r="A218" s="5">
        <v>45874</v>
      </c>
      <c r="B218" t="s">
        <v>8</v>
      </c>
      <c r="C218" t="s">
        <v>43</v>
      </c>
      <c r="D218" t="s">
        <v>44</v>
      </c>
      <c r="E218">
        <v>163</v>
      </c>
      <c r="F218" s="4">
        <v>9.75</v>
      </c>
      <c r="G218" s="4">
        <f>E218*F218</f>
      </c>
      <c r="H218" s="6">
        <v>0.373</v>
      </c>
    </row>
    <row r="219">
      <c r="A219" s="5">
        <v>45875</v>
      </c>
      <c r="B219" t="s">
        <v>9</v>
      </c>
      <c r="C219" t="s">
        <v>49</v>
      </c>
      <c r="D219" t="s">
        <v>51</v>
      </c>
      <c r="E219">
        <v>160</v>
      </c>
      <c r="F219" s="4">
        <v>39.21</v>
      </c>
      <c r="G219" s="4">
        <f>E219*F219</f>
      </c>
      <c r="H219" s="6">
        <v>0.464</v>
      </c>
    </row>
    <row r="220">
      <c r="A220" s="5">
        <v>45876</v>
      </c>
      <c r="B220" t="s">
        <v>9</v>
      </c>
      <c r="C220" t="s">
        <v>43</v>
      </c>
      <c r="D220" t="s">
        <v>50</v>
      </c>
      <c r="E220">
        <v>26</v>
      </c>
      <c r="F220" s="4">
        <v>84.02</v>
      </c>
      <c r="G220" s="4">
        <f>E220*F220</f>
      </c>
      <c r="H220" s="6">
        <v>0.271</v>
      </c>
    </row>
    <row r="221">
      <c r="A221" s="5">
        <v>45877</v>
      </c>
      <c r="B221" t="s">
        <v>8</v>
      </c>
      <c r="C221" t="s">
        <v>43</v>
      </c>
      <c r="D221" t="s">
        <v>51</v>
      </c>
      <c r="E221">
        <v>190</v>
      </c>
      <c r="F221" s="4">
        <v>67.41</v>
      </c>
      <c r="G221" s="4">
        <f>E221*F221</f>
      </c>
      <c r="H221" s="6">
        <v>0.119</v>
      </c>
    </row>
    <row r="222">
      <c r="A222" s="5">
        <v>45878</v>
      </c>
      <c r="B222" t="s">
        <v>11</v>
      </c>
      <c r="C222" t="s">
        <v>49</v>
      </c>
      <c r="D222" t="s">
        <v>51</v>
      </c>
      <c r="E222">
        <v>21</v>
      </c>
      <c r="F222" s="4">
        <v>42.29</v>
      </c>
      <c r="G222" s="4">
        <f>E222*F222</f>
      </c>
      <c r="H222" s="6">
        <v>0.268</v>
      </c>
    </row>
    <row r="223">
      <c r="A223" s="5">
        <v>45879</v>
      </c>
      <c r="B223" t="s">
        <v>10</v>
      </c>
      <c r="C223" t="s">
        <v>49</v>
      </c>
      <c r="D223" t="s">
        <v>50</v>
      </c>
      <c r="E223">
        <v>83</v>
      </c>
      <c r="F223" s="4">
        <v>92.42</v>
      </c>
      <c r="G223" s="4">
        <f>E223*F223</f>
      </c>
      <c r="H223" s="6">
        <v>0.262</v>
      </c>
    </row>
    <row r="224">
      <c r="A224" s="5">
        <v>45880</v>
      </c>
      <c r="B224" t="s">
        <v>11</v>
      </c>
      <c r="C224" t="s">
        <v>45</v>
      </c>
      <c r="D224" t="s">
        <v>46</v>
      </c>
      <c r="E224">
        <v>163</v>
      </c>
      <c r="F224" s="4">
        <v>22.62</v>
      </c>
      <c r="G224" s="4">
        <f>E224*F224</f>
      </c>
      <c r="H224" s="6">
        <v>0.22</v>
      </c>
    </row>
    <row r="225">
      <c r="A225" s="5">
        <v>45881</v>
      </c>
      <c r="B225" t="s">
        <v>9</v>
      </c>
      <c r="C225" t="s">
        <v>45</v>
      </c>
      <c r="D225" t="s">
        <v>44</v>
      </c>
      <c r="E225">
        <v>179</v>
      </c>
      <c r="F225" s="4">
        <v>55.58</v>
      </c>
      <c r="G225" s="4">
        <f>E225*F225</f>
      </c>
      <c r="H225" s="6">
        <v>0.235</v>
      </c>
    </row>
    <row r="226">
      <c r="A226" s="5">
        <v>45882</v>
      </c>
      <c r="B226" t="s">
        <v>11</v>
      </c>
      <c r="C226" t="s">
        <v>41</v>
      </c>
      <c r="D226" t="s">
        <v>42</v>
      </c>
      <c r="E226">
        <v>32</v>
      </c>
      <c r="F226" s="4">
        <v>98.1</v>
      </c>
      <c r="G226" s="4">
        <f>E226*F226</f>
      </c>
      <c r="H226" s="6">
        <v>0.095</v>
      </c>
    </row>
    <row r="227">
      <c r="A227" s="5">
        <v>45883</v>
      </c>
      <c r="B227" t="s">
        <v>8</v>
      </c>
      <c r="C227" t="s">
        <v>47</v>
      </c>
      <c r="D227" t="s">
        <v>48</v>
      </c>
      <c r="E227">
        <v>165</v>
      </c>
      <c r="F227" s="4">
        <v>16.9</v>
      </c>
      <c r="G227" s="4">
        <f>E227*F227</f>
      </c>
      <c r="H227" s="6">
        <v>0.216</v>
      </c>
    </row>
    <row r="228">
      <c r="A228" s="5">
        <v>45884</v>
      </c>
      <c r="B228" t="s">
        <v>10</v>
      </c>
      <c r="C228" t="s">
        <v>43</v>
      </c>
      <c r="D228" t="s">
        <v>48</v>
      </c>
      <c r="E228">
        <v>181</v>
      </c>
      <c r="F228" s="4">
        <v>79.11</v>
      </c>
      <c r="G228" s="4">
        <f>E228*F228</f>
      </c>
      <c r="H228" s="6">
        <v>0.119</v>
      </c>
    </row>
    <row r="229">
      <c r="A229" s="5">
        <v>45885</v>
      </c>
      <c r="B229" t="s">
        <v>8</v>
      </c>
      <c r="C229" t="s">
        <v>53</v>
      </c>
      <c r="D229" t="s">
        <v>50</v>
      </c>
      <c r="E229">
        <v>124</v>
      </c>
      <c r="F229" s="4">
        <v>84.91</v>
      </c>
      <c r="G229" s="4">
        <f>E229*F229</f>
      </c>
      <c r="H229" s="6">
        <v>0.447</v>
      </c>
    </row>
    <row r="230">
      <c r="A230" s="5">
        <v>45886</v>
      </c>
      <c r="B230" t="s">
        <v>9</v>
      </c>
      <c r="C230" t="s">
        <v>47</v>
      </c>
      <c r="D230" t="s">
        <v>48</v>
      </c>
      <c r="E230">
        <v>116</v>
      </c>
      <c r="F230" s="4">
        <v>88.39</v>
      </c>
      <c r="G230" s="4">
        <f>E230*F230</f>
      </c>
      <c r="H230" s="6">
        <v>0.421</v>
      </c>
    </row>
    <row r="231">
      <c r="A231" s="5">
        <v>45887</v>
      </c>
      <c r="B231" t="s">
        <v>10</v>
      </c>
      <c r="C231" t="s">
        <v>45</v>
      </c>
      <c r="D231" t="s">
        <v>48</v>
      </c>
      <c r="E231">
        <v>128</v>
      </c>
      <c r="F231" s="4">
        <v>82.87</v>
      </c>
      <c r="G231" s="4">
        <f>E231*F231</f>
      </c>
      <c r="H231" s="6">
        <v>0.285</v>
      </c>
    </row>
    <row r="232">
      <c r="A232" s="5">
        <v>45888</v>
      </c>
      <c r="B232" t="s">
        <v>9</v>
      </c>
      <c r="C232" t="s">
        <v>47</v>
      </c>
      <c r="D232" t="s">
        <v>50</v>
      </c>
      <c r="E232">
        <v>60</v>
      </c>
      <c r="F232" s="4">
        <v>63.06</v>
      </c>
      <c r="G232" s="4">
        <f>E232*F232</f>
      </c>
      <c r="H232" s="6">
        <v>0.209</v>
      </c>
    </row>
    <row r="233">
      <c r="A233" s="5">
        <v>45889</v>
      </c>
      <c r="B233" t="s">
        <v>9</v>
      </c>
      <c r="C233" t="s">
        <v>45</v>
      </c>
      <c r="D233" t="s">
        <v>44</v>
      </c>
      <c r="E233">
        <v>24</v>
      </c>
      <c r="F233" s="4">
        <v>29.22</v>
      </c>
      <c r="G233" s="4">
        <f>E233*F233</f>
      </c>
      <c r="H233" s="6">
        <v>0.193</v>
      </c>
    </row>
    <row r="234">
      <c r="A234" s="5">
        <v>45890</v>
      </c>
      <c r="B234" t="s">
        <v>10</v>
      </c>
      <c r="C234" t="s">
        <v>53</v>
      </c>
      <c r="D234" t="s">
        <v>51</v>
      </c>
      <c r="E234">
        <v>86</v>
      </c>
      <c r="F234" s="4">
        <v>83.76</v>
      </c>
      <c r="G234" s="4">
        <f>E234*F234</f>
      </c>
      <c r="H234" s="6">
        <v>0.296</v>
      </c>
    </row>
    <row r="235">
      <c r="A235" s="5">
        <v>45891</v>
      </c>
      <c r="B235" t="s">
        <v>8</v>
      </c>
      <c r="C235" t="s">
        <v>43</v>
      </c>
      <c r="D235" t="s">
        <v>48</v>
      </c>
      <c r="E235">
        <v>102</v>
      </c>
      <c r="F235" s="4">
        <v>31.23</v>
      </c>
      <c r="G235" s="4">
        <f>E235*F235</f>
      </c>
      <c r="H235" s="6">
        <v>0.152</v>
      </c>
    </row>
    <row r="236">
      <c r="A236" s="5">
        <v>45892</v>
      </c>
      <c r="B236" t="s">
        <v>8</v>
      </c>
      <c r="C236" t="s">
        <v>43</v>
      </c>
      <c r="D236" t="s">
        <v>48</v>
      </c>
      <c r="E236">
        <v>75</v>
      </c>
      <c r="F236" s="4">
        <v>18.79</v>
      </c>
      <c r="G236" s="4">
        <f>E236*F236</f>
      </c>
      <c r="H236" s="6">
        <v>0.413</v>
      </c>
    </row>
    <row r="237">
      <c r="A237" s="5">
        <v>45893</v>
      </c>
      <c r="B237" t="s">
        <v>9</v>
      </c>
      <c r="C237" t="s">
        <v>53</v>
      </c>
      <c r="D237" t="s">
        <v>46</v>
      </c>
      <c r="E237">
        <v>155</v>
      </c>
      <c r="F237" s="4">
        <v>61.7</v>
      </c>
      <c r="G237" s="4">
        <f>E237*F237</f>
      </c>
      <c r="H237" s="6">
        <v>0.474</v>
      </c>
    </row>
    <row r="238">
      <c r="A238" s="5">
        <v>45894</v>
      </c>
      <c r="B238" t="s">
        <v>11</v>
      </c>
      <c r="C238" t="s">
        <v>45</v>
      </c>
      <c r="D238" t="s">
        <v>52</v>
      </c>
      <c r="E238">
        <v>166</v>
      </c>
      <c r="F238" s="4">
        <v>24.59</v>
      </c>
      <c r="G238" s="4">
        <f>E238*F238</f>
      </c>
      <c r="H238" s="6">
        <v>0.294</v>
      </c>
    </row>
    <row r="239">
      <c r="A239" s="5">
        <v>45895</v>
      </c>
      <c r="B239" t="s">
        <v>9</v>
      </c>
      <c r="C239" t="s">
        <v>53</v>
      </c>
      <c r="D239" t="s">
        <v>44</v>
      </c>
      <c r="E239">
        <v>13</v>
      </c>
      <c r="F239" s="4">
        <v>29.31</v>
      </c>
      <c r="G239" s="4">
        <f>E239*F239</f>
      </c>
      <c r="H239" s="6">
        <v>0.317</v>
      </c>
    </row>
    <row r="240">
      <c r="A240" s="5">
        <v>45896</v>
      </c>
      <c r="B240" t="s">
        <v>10</v>
      </c>
      <c r="C240" t="s">
        <v>49</v>
      </c>
      <c r="D240" t="s">
        <v>52</v>
      </c>
      <c r="E240">
        <v>16</v>
      </c>
      <c r="F240" s="4">
        <v>51.28</v>
      </c>
      <c r="G240" s="4">
        <f>E240*F240</f>
      </c>
      <c r="H240" s="6">
        <v>0.331</v>
      </c>
    </row>
    <row r="241">
      <c r="A241" s="5">
        <v>45897</v>
      </c>
      <c r="B241" t="s">
        <v>9</v>
      </c>
      <c r="C241" t="s">
        <v>43</v>
      </c>
      <c r="D241" t="s">
        <v>44</v>
      </c>
      <c r="E241">
        <v>156</v>
      </c>
      <c r="F241" s="4">
        <v>76.15</v>
      </c>
      <c r="G241" s="4">
        <f>E241*F241</f>
      </c>
      <c r="H241" s="6">
        <v>0.146</v>
      </c>
    </row>
    <row r="242">
      <c r="A242" s="5">
        <v>45898</v>
      </c>
      <c r="B242" t="s">
        <v>11</v>
      </c>
      <c r="C242" t="s">
        <v>53</v>
      </c>
      <c r="D242" t="s">
        <v>51</v>
      </c>
      <c r="E242">
        <v>184</v>
      </c>
      <c r="F242" s="4">
        <v>25.28</v>
      </c>
      <c r="G242" s="4">
        <f>E242*F242</f>
      </c>
      <c r="H242" s="6">
        <v>0.164</v>
      </c>
    </row>
    <row r="243">
      <c r="A243" s="5">
        <v>45899</v>
      </c>
      <c r="B243" t="s">
        <v>9</v>
      </c>
      <c r="C243" t="s">
        <v>53</v>
      </c>
      <c r="D243" t="s">
        <v>44</v>
      </c>
      <c r="E243">
        <v>116</v>
      </c>
      <c r="F243" s="4">
        <v>31.32</v>
      </c>
      <c r="G243" s="4">
        <f>E243*F243</f>
      </c>
      <c r="H243" s="6">
        <v>0.081</v>
      </c>
    </row>
    <row r="244">
      <c r="A244" s="5">
        <v>45900</v>
      </c>
      <c r="B244" t="s">
        <v>10</v>
      </c>
      <c r="C244" t="s">
        <v>43</v>
      </c>
      <c r="D244" t="s">
        <v>51</v>
      </c>
      <c r="E244">
        <v>121</v>
      </c>
      <c r="F244" s="4">
        <v>9.49</v>
      </c>
      <c r="G244" s="4">
        <f>E244*F244</f>
      </c>
      <c r="H244" s="6">
        <v>0.311</v>
      </c>
    </row>
    <row r="245">
      <c r="A245" s="5">
        <v>45901</v>
      </c>
      <c r="B245" t="s">
        <v>9</v>
      </c>
      <c r="C245" t="s">
        <v>41</v>
      </c>
      <c r="D245" t="s">
        <v>52</v>
      </c>
      <c r="E245">
        <v>71</v>
      </c>
      <c r="F245" s="4">
        <v>87.11</v>
      </c>
      <c r="G245" s="4">
        <f>E245*F245</f>
      </c>
      <c r="H245" s="6">
        <v>0.229</v>
      </c>
    </row>
    <row r="246">
      <c r="A246" s="5">
        <v>45902</v>
      </c>
      <c r="B246" t="s">
        <v>10</v>
      </c>
      <c r="C246" t="s">
        <v>49</v>
      </c>
      <c r="D246" t="s">
        <v>52</v>
      </c>
      <c r="E246">
        <v>53</v>
      </c>
      <c r="F246" s="4">
        <v>42.98</v>
      </c>
      <c r="G246" s="4">
        <f>E246*F246</f>
      </c>
      <c r="H246" s="6">
        <v>0.367</v>
      </c>
    </row>
    <row r="247">
      <c r="A247" s="5">
        <v>45903</v>
      </c>
      <c r="B247" t="s">
        <v>10</v>
      </c>
      <c r="C247" t="s">
        <v>49</v>
      </c>
      <c r="D247" t="s">
        <v>44</v>
      </c>
      <c r="E247">
        <v>86</v>
      </c>
      <c r="F247" s="4">
        <v>71.31</v>
      </c>
      <c r="G247" s="4">
        <f>E247*F247</f>
      </c>
      <c r="H247" s="6">
        <v>0.414</v>
      </c>
    </row>
    <row r="248">
      <c r="A248" s="5">
        <v>45904</v>
      </c>
      <c r="B248" t="s">
        <v>8</v>
      </c>
      <c r="C248" t="s">
        <v>53</v>
      </c>
      <c r="D248" t="s">
        <v>51</v>
      </c>
      <c r="E248">
        <v>63</v>
      </c>
      <c r="F248" s="4">
        <v>65.22</v>
      </c>
      <c r="G248" s="4">
        <f>E248*F248</f>
      </c>
      <c r="H248" s="6">
        <v>0.134</v>
      </c>
    </row>
    <row r="249">
      <c r="A249" s="5">
        <v>45905</v>
      </c>
      <c r="B249" t="s">
        <v>11</v>
      </c>
      <c r="C249" t="s">
        <v>49</v>
      </c>
      <c r="D249" t="s">
        <v>51</v>
      </c>
      <c r="E249">
        <v>61</v>
      </c>
      <c r="F249" s="4">
        <v>40.36</v>
      </c>
      <c r="G249" s="4">
        <f>E249*F249</f>
      </c>
      <c r="H249" s="6">
        <v>0.362</v>
      </c>
    </row>
    <row r="250">
      <c r="A250" s="5">
        <v>45906</v>
      </c>
      <c r="B250" t="s">
        <v>11</v>
      </c>
      <c r="C250" t="s">
        <v>47</v>
      </c>
      <c r="D250" t="s">
        <v>51</v>
      </c>
      <c r="E250">
        <v>13</v>
      </c>
      <c r="F250" s="4">
        <v>61.96</v>
      </c>
      <c r="G250" s="4">
        <f>E250*F250</f>
      </c>
      <c r="H250" s="6">
        <v>0.111</v>
      </c>
    </row>
    <row r="251">
      <c r="A251" s="5">
        <v>45907</v>
      </c>
      <c r="B251" t="s">
        <v>8</v>
      </c>
      <c r="C251" t="s">
        <v>41</v>
      </c>
      <c r="D251" t="s">
        <v>44</v>
      </c>
      <c r="E251">
        <v>121</v>
      </c>
      <c r="F251" s="4">
        <v>73.81</v>
      </c>
      <c r="G251" s="4">
        <f>E251*F251</f>
      </c>
      <c r="H251" s="6">
        <v>0.314</v>
      </c>
    </row>
    <row r="252">
      <c r="A252" s="5">
        <v>45908</v>
      </c>
      <c r="B252" t="s">
        <v>8</v>
      </c>
      <c r="C252" t="s">
        <v>41</v>
      </c>
      <c r="D252" t="s">
        <v>50</v>
      </c>
      <c r="E252">
        <v>21</v>
      </c>
      <c r="F252" s="4">
        <v>44.15</v>
      </c>
      <c r="G252" s="4">
        <f>E252*F252</f>
      </c>
      <c r="H252" s="6">
        <v>0.177</v>
      </c>
    </row>
    <row r="253">
      <c r="A253" s="5">
        <v>45909</v>
      </c>
      <c r="B253" t="s">
        <v>10</v>
      </c>
      <c r="C253" t="s">
        <v>45</v>
      </c>
      <c r="D253" t="s">
        <v>42</v>
      </c>
      <c r="E253">
        <v>68</v>
      </c>
      <c r="F253" s="4">
        <v>93.09</v>
      </c>
      <c r="G253" s="4">
        <f>E253*F253</f>
      </c>
      <c r="H253" s="6">
        <v>0.475</v>
      </c>
    </row>
    <row r="254">
      <c r="A254" s="5">
        <v>45910</v>
      </c>
      <c r="B254" t="s">
        <v>9</v>
      </c>
      <c r="C254" t="s">
        <v>41</v>
      </c>
      <c r="D254" t="s">
        <v>52</v>
      </c>
      <c r="E254">
        <v>81</v>
      </c>
      <c r="F254" s="4">
        <v>31.8</v>
      </c>
      <c r="G254" s="4">
        <f>E254*F254</f>
      </c>
      <c r="H254" s="6">
        <v>0.205</v>
      </c>
    </row>
    <row r="255">
      <c r="A255" s="5">
        <v>45911</v>
      </c>
      <c r="B255" t="s">
        <v>8</v>
      </c>
      <c r="C255" t="s">
        <v>45</v>
      </c>
      <c r="D255" t="s">
        <v>52</v>
      </c>
      <c r="E255">
        <v>8</v>
      </c>
      <c r="F255" s="4">
        <v>17.58</v>
      </c>
      <c r="G255" s="4">
        <f>E255*F255</f>
      </c>
      <c r="H255" s="6">
        <v>0.324</v>
      </c>
    </row>
    <row r="256">
      <c r="A256" s="5">
        <v>45912</v>
      </c>
      <c r="B256" t="s">
        <v>10</v>
      </c>
      <c r="C256" t="s">
        <v>53</v>
      </c>
      <c r="D256" t="s">
        <v>44</v>
      </c>
      <c r="E256">
        <v>61</v>
      </c>
      <c r="F256" s="4">
        <v>71.3</v>
      </c>
      <c r="G256" s="4">
        <f>E256*F256</f>
      </c>
      <c r="H256" s="6">
        <v>0.23</v>
      </c>
    </row>
    <row r="257">
      <c r="A257" s="5">
        <v>45913</v>
      </c>
      <c r="B257" t="s">
        <v>11</v>
      </c>
      <c r="C257" t="s">
        <v>45</v>
      </c>
      <c r="D257" t="s">
        <v>52</v>
      </c>
      <c r="E257">
        <v>139</v>
      </c>
      <c r="F257" s="4">
        <v>43.11</v>
      </c>
      <c r="G257" s="4">
        <f>E257*F257</f>
      </c>
      <c r="H257" s="6">
        <v>0.421</v>
      </c>
    </row>
    <row r="258">
      <c r="A258" s="5">
        <v>45914</v>
      </c>
      <c r="B258" t="s">
        <v>8</v>
      </c>
      <c r="C258" t="s">
        <v>47</v>
      </c>
      <c r="D258" t="s">
        <v>44</v>
      </c>
      <c r="E258">
        <v>30</v>
      </c>
      <c r="F258" s="4">
        <v>55.08</v>
      </c>
      <c r="G258" s="4">
        <f>E258*F258</f>
      </c>
      <c r="H258" s="6">
        <v>0.371</v>
      </c>
    </row>
    <row r="259">
      <c r="A259" s="5">
        <v>45915</v>
      </c>
      <c r="B259" t="s">
        <v>11</v>
      </c>
      <c r="C259" t="s">
        <v>53</v>
      </c>
      <c r="D259" t="s">
        <v>44</v>
      </c>
      <c r="E259">
        <v>59</v>
      </c>
      <c r="F259" s="4">
        <v>30.23</v>
      </c>
      <c r="G259" s="4">
        <f>E259*F259</f>
      </c>
      <c r="H259" s="6">
        <v>0.402</v>
      </c>
    </row>
    <row r="260">
      <c r="A260" s="5">
        <v>45916</v>
      </c>
      <c r="B260" t="s">
        <v>8</v>
      </c>
      <c r="C260" t="s">
        <v>47</v>
      </c>
      <c r="D260" t="s">
        <v>46</v>
      </c>
      <c r="E260">
        <v>61</v>
      </c>
      <c r="F260" s="4">
        <v>32.24</v>
      </c>
      <c r="G260" s="4">
        <f>E260*F260</f>
      </c>
      <c r="H260" s="6">
        <v>0.276</v>
      </c>
    </row>
    <row r="261">
      <c r="A261" s="5">
        <v>45917</v>
      </c>
      <c r="B261" t="s">
        <v>9</v>
      </c>
      <c r="C261" t="s">
        <v>43</v>
      </c>
      <c r="D261" t="s">
        <v>48</v>
      </c>
      <c r="E261">
        <v>29</v>
      </c>
      <c r="F261" s="4">
        <v>15.45</v>
      </c>
      <c r="G261" s="4">
        <f>E261*F261</f>
      </c>
      <c r="H261" s="6">
        <v>0.202</v>
      </c>
    </row>
    <row r="262">
      <c r="A262" s="5">
        <v>45918</v>
      </c>
      <c r="B262" t="s">
        <v>10</v>
      </c>
      <c r="C262" t="s">
        <v>45</v>
      </c>
      <c r="D262" t="s">
        <v>52</v>
      </c>
      <c r="E262">
        <v>83</v>
      </c>
      <c r="F262" s="4">
        <v>63.34</v>
      </c>
      <c r="G262" s="4">
        <f>E262*F262</f>
      </c>
      <c r="H262" s="6">
        <v>0.458</v>
      </c>
    </row>
    <row r="263">
      <c r="A263" s="5">
        <v>45919</v>
      </c>
      <c r="B263" t="s">
        <v>9</v>
      </c>
      <c r="C263" t="s">
        <v>43</v>
      </c>
      <c r="D263" t="s">
        <v>51</v>
      </c>
      <c r="E263">
        <v>51</v>
      </c>
      <c r="F263" s="4">
        <v>99.75</v>
      </c>
      <c r="G263" s="4">
        <f>E263*F263</f>
      </c>
      <c r="H263" s="6">
        <v>0.108</v>
      </c>
    </row>
    <row r="264">
      <c r="A264" s="5">
        <v>45920</v>
      </c>
      <c r="B264" t="s">
        <v>10</v>
      </c>
      <c r="C264" t="s">
        <v>49</v>
      </c>
      <c r="D264" t="s">
        <v>44</v>
      </c>
      <c r="E264">
        <v>113</v>
      </c>
      <c r="F264" s="4">
        <v>71.67</v>
      </c>
      <c r="G264" s="4">
        <f>E264*F264</f>
      </c>
      <c r="H264" s="6">
        <v>0.185</v>
      </c>
    </row>
    <row r="265">
      <c r="A265" s="5">
        <v>45921</v>
      </c>
      <c r="B265" t="s">
        <v>11</v>
      </c>
      <c r="C265" t="s">
        <v>49</v>
      </c>
      <c r="D265" t="s">
        <v>50</v>
      </c>
      <c r="E265">
        <v>193</v>
      </c>
      <c r="F265" s="4">
        <v>23.19</v>
      </c>
      <c r="G265" s="4">
        <f>E265*F265</f>
      </c>
      <c r="H265" s="6">
        <v>0.249</v>
      </c>
    </row>
    <row r="266">
      <c r="A266" s="5">
        <v>45922</v>
      </c>
      <c r="B266" t="s">
        <v>9</v>
      </c>
      <c r="C266" t="s">
        <v>43</v>
      </c>
      <c r="D266" t="s">
        <v>50</v>
      </c>
      <c r="E266">
        <v>176</v>
      </c>
      <c r="F266" s="4">
        <v>91.66</v>
      </c>
      <c r="G266" s="4">
        <f>E266*F266</f>
      </c>
      <c r="H266" s="6">
        <v>0.398</v>
      </c>
    </row>
    <row r="267">
      <c r="A267" s="5">
        <v>45923</v>
      </c>
      <c r="B267" t="s">
        <v>10</v>
      </c>
      <c r="C267" t="s">
        <v>45</v>
      </c>
      <c r="D267" t="s">
        <v>42</v>
      </c>
      <c r="E267">
        <v>142</v>
      </c>
      <c r="F267" s="4">
        <v>97.51</v>
      </c>
      <c r="G267" s="4">
        <f>E267*F267</f>
      </c>
      <c r="H267" s="6">
        <v>0.176</v>
      </c>
    </row>
    <row r="268">
      <c r="A268" s="5">
        <v>45924</v>
      </c>
      <c r="B268" t="s">
        <v>11</v>
      </c>
      <c r="C268" t="s">
        <v>45</v>
      </c>
      <c r="D268" t="s">
        <v>46</v>
      </c>
      <c r="E268">
        <v>49</v>
      </c>
      <c r="F268" s="4">
        <v>14.16</v>
      </c>
      <c r="G268" s="4">
        <f>E268*F268</f>
      </c>
      <c r="H268" s="6">
        <v>0.109</v>
      </c>
    </row>
    <row r="269">
      <c r="A269" s="5">
        <v>45925</v>
      </c>
      <c r="B269" t="s">
        <v>11</v>
      </c>
      <c r="C269" t="s">
        <v>43</v>
      </c>
      <c r="D269" t="s">
        <v>51</v>
      </c>
      <c r="E269">
        <v>19</v>
      </c>
      <c r="F269" s="4">
        <v>30.76</v>
      </c>
      <c r="G269" s="4">
        <f>E269*F269</f>
      </c>
      <c r="H269" s="6">
        <v>0.47</v>
      </c>
    </row>
    <row r="270">
      <c r="A270" s="5">
        <v>45926</v>
      </c>
      <c r="B270" t="s">
        <v>10</v>
      </c>
      <c r="C270" t="s">
        <v>43</v>
      </c>
      <c r="D270" t="s">
        <v>46</v>
      </c>
      <c r="E270">
        <v>120</v>
      </c>
      <c r="F270" s="4">
        <v>78.19</v>
      </c>
      <c r="G270" s="4">
        <f>E270*F270</f>
      </c>
      <c r="H270" s="6">
        <v>0.267</v>
      </c>
    </row>
    <row r="271">
      <c r="A271" s="5">
        <v>45927</v>
      </c>
      <c r="B271" t="s">
        <v>11</v>
      </c>
      <c r="C271" t="s">
        <v>47</v>
      </c>
      <c r="D271" t="s">
        <v>52</v>
      </c>
      <c r="E271">
        <v>57</v>
      </c>
      <c r="F271" s="4">
        <v>87.6</v>
      </c>
      <c r="G271" s="4">
        <f>E271*F271</f>
      </c>
      <c r="H271" s="6">
        <v>0.471</v>
      </c>
    </row>
    <row r="272">
      <c r="A272" s="5">
        <v>45928</v>
      </c>
      <c r="B272" t="s">
        <v>8</v>
      </c>
      <c r="C272" t="s">
        <v>43</v>
      </c>
      <c r="D272" t="s">
        <v>52</v>
      </c>
      <c r="E272">
        <v>77</v>
      </c>
      <c r="F272" s="4">
        <v>98.41</v>
      </c>
      <c r="G272" s="4">
        <f>E272*F272</f>
      </c>
      <c r="H272" s="6">
        <v>0.204</v>
      </c>
    </row>
    <row r="273">
      <c r="A273" s="5">
        <v>45929</v>
      </c>
      <c r="B273" t="s">
        <v>8</v>
      </c>
      <c r="C273" t="s">
        <v>53</v>
      </c>
      <c r="D273" t="s">
        <v>42</v>
      </c>
      <c r="E273">
        <v>83</v>
      </c>
      <c r="F273" s="4">
        <v>75</v>
      </c>
      <c r="G273" s="4">
        <f>E273*F273</f>
      </c>
      <c r="H273" s="6">
        <v>0.39</v>
      </c>
    </row>
    <row r="274">
      <c r="A274" s="5">
        <v>45930</v>
      </c>
      <c r="B274" t="s">
        <v>11</v>
      </c>
      <c r="C274" t="s">
        <v>47</v>
      </c>
      <c r="D274" t="s">
        <v>48</v>
      </c>
      <c r="E274">
        <v>101</v>
      </c>
      <c r="F274" s="4">
        <v>26.54</v>
      </c>
      <c r="G274" s="4">
        <f>E274*F274</f>
      </c>
      <c r="H274" s="6">
        <v>0.312</v>
      </c>
    </row>
    <row r="275">
      <c r="A275" s="5">
        <v>45931</v>
      </c>
      <c r="B275" t="s">
        <v>11</v>
      </c>
      <c r="C275" t="s">
        <v>41</v>
      </c>
      <c r="D275" t="s">
        <v>50</v>
      </c>
      <c r="E275">
        <v>73</v>
      </c>
      <c r="F275" s="4">
        <v>84.57</v>
      </c>
      <c r="G275" s="4">
        <f>E275*F275</f>
      </c>
      <c r="H275" s="6">
        <v>0.261</v>
      </c>
    </row>
    <row r="276">
      <c r="A276" s="5">
        <v>45932</v>
      </c>
      <c r="B276" t="s">
        <v>10</v>
      </c>
      <c r="C276" t="s">
        <v>45</v>
      </c>
      <c r="D276" t="s">
        <v>52</v>
      </c>
      <c r="E276">
        <v>151</v>
      </c>
      <c r="F276" s="4">
        <v>85.14</v>
      </c>
      <c r="G276" s="4">
        <f>E276*F276</f>
      </c>
      <c r="H276" s="6">
        <v>0.168</v>
      </c>
    </row>
    <row r="277">
      <c r="A277" s="5">
        <v>45933</v>
      </c>
      <c r="B277" t="s">
        <v>11</v>
      </c>
      <c r="C277" t="s">
        <v>49</v>
      </c>
      <c r="D277" t="s">
        <v>50</v>
      </c>
      <c r="E277">
        <v>195</v>
      </c>
      <c r="F277" s="4">
        <v>47.26</v>
      </c>
      <c r="G277" s="4">
        <f>E277*F277</f>
      </c>
      <c r="H277" s="6">
        <v>0.454</v>
      </c>
    </row>
    <row r="278">
      <c r="A278" s="5">
        <v>45934</v>
      </c>
      <c r="B278" t="s">
        <v>11</v>
      </c>
      <c r="C278" t="s">
        <v>41</v>
      </c>
      <c r="D278" t="s">
        <v>48</v>
      </c>
      <c r="E278">
        <v>28</v>
      </c>
      <c r="F278" s="4">
        <v>61.95</v>
      </c>
      <c r="G278" s="4">
        <f>E278*F278</f>
      </c>
      <c r="H278" s="6">
        <v>0.266</v>
      </c>
    </row>
    <row r="279">
      <c r="A279" s="5">
        <v>45935</v>
      </c>
      <c r="B279" t="s">
        <v>8</v>
      </c>
      <c r="C279" t="s">
        <v>43</v>
      </c>
      <c r="D279" t="s">
        <v>51</v>
      </c>
      <c r="E279">
        <v>133</v>
      </c>
      <c r="F279" s="4">
        <v>17</v>
      </c>
      <c r="G279" s="4">
        <f>E279*F279</f>
      </c>
      <c r="H279" s="6">
        <v>0.13</v>
      </c>
    </row>
    <row r="280">
      <c r="A280" s="5">
        <v>45936</v>
      </c>
      <c r="B280" t="s">
        <v>10</v>
      </c>
      <c r="C280" t="s">
        <v>53</v>
      </c>
      <c r="D280" t="s">
        <v>50</v>
      </c>
      <c r="E280">
        <v>139</v>
      </c>
      <c r="F280" s="4">
        <v>93.47</v>
      </c>
      <c r="G280" s="4">
        <f>E280*F280</f>
      </c>
      <c r="H280" s="6">
        <v>0.453</v>
      </c>
    </row>
    <row r="281">
      <c r="A281" s="5">
        <v>45937</v>
      </c>
      <c r="B281" t="s">
        <v>11</v>
      </c>
      <c r="C281" t="s">
        <v>41</v>
      </c>
      <c r="D281" t="s">
        <v>44</v>
      </c>
      <c r="E281">
        <v>43</v>
      </c>
      <c r="F281" s="4">
        <v>30.69</v>
      </c>
      <c r="G281" s="4">
        <f>E281*F281</f>
      </c>
      <c r="H281" s="6">
        <v>0.197</v>
      </c>
    </row>
    <row r="282">
      <c r="A282" s="5">
        <v>45938</v>
      </c>
      <c r="B282" t="s">
        <v>9</v>
      </c>
      <c r="C282" t="s">
        <v>43</v>
      </c>
      <c r="D282" t="s">
        <v>50</v>
      </c>
      <c r="E282">
        <v>126</v>
      </c>
      <c r="F282" s="4">
        <v>30.94</v>
      </c>
      <c r="G282" s="4">
        <f>E282*F282</f>
      </c>
      <c r="H282" s="6">
        <v>0.22</v>
      </c>
    </row>
    <row r="283">
      <c r="A283" s="5">
        <v>45939</v>
      </c>
      <c r="B283" t="s">
        <v>10</v>
      </c>
      <c r="C283" t="s">
        <v>43</v>
      </c>
      <c r="D283" t="s">
        <v>52</v>
      </c>
      <c r="E283">
        <v>73</v>
      </c>
      <c r="F283" s="4">
        <v>80.5</v>
      </c>
      <c r="G283" s="4">
        <f>E283*F283</f>
      </c>
      <c r="H283" s="6">
        <v>0.472</v>
      </c>
    </row>
    <row r="284">
      <c r="A284" s="5">
        <v>45940</v>
      </c>
      <c r="B284" t="s">
        <v>8</v>
      </c>
      <c r="C284" t="s">
        <v>45</v>
      </c>
      <c r="D284" t="s">
        <v>52</v>
      </c>
      <c r="E284">
        <v>137</v>
      </c>
      <c r="F284" s="4">
        <v>78.66</v>
      </c>
      <c r="G284" s="4">
        <f>E284*F284</f>
      </c>
      <c r="H284" s="6">
        <v>0.44</v>
      </c>
    </row>
    <row r="285">
      <c r="A285" s="5">
        <v>45941</v>
      </c>
      <c r="B285" t="s">
        <v>8</v>
      </c>
      <c r="C285" t="s">
        <v>53</v>
      </c>
      <c r="D285" t="s">
        <v>44</v>
      </c>
      <c r="E285">
        <v>131</v>
      </c>
      <c r="F285" s="4">
        <v>23.37</v>
      </c>
      <c r="G285" s="4">
        <f>E285*F285</f>
      </c>
      <c r="H285" s="6">
        <v>0.466</v>
      </c>
    </row>
    <row r="286">
      <c r="A286" s="5">
        <v>45942</v>
      </c>
      <c r="B286" t="s">
        <v>11</v>
      </c>
      <c r="C286" t="s">
        <v>47</v>
      </c>
      <c r="D286" t="s">
        <v>42</v>
      </c>
      <c r="E286">
        <v>17</v>
      </c>
      <c r="F286" s="4">
        <v>47.61</v>
      </c>
      <c r="G286" s="4">
        <f>E286*F286</f>
      </c>
      <c r="H286" s="6">
        <v>0.222</v>
      </c>
    </row>
    <row r="287">
      <c r="A287" s="5">
        <v>45943</v>
      </c>
      <c r="B287" t="s">
        <v>10</v>
      </c>
      <c r="C287" t="s">
        <v>53</v>
      </c>
      <c r="D287" t="s">
        <v>46</v>
      </c>
      <c r="E287">
        <v>45</v>
      </c>
      <c r="F287" s="4">
        <v>50.64</v>
      </c>
      <c r="G287" s="4">
        <f>E287*F287</f>
      </c>
      <c r="H287" s="6">
        <v>0.308</v>
      </c>
    </row>
    <row r="288">
      <c r="A288" s="5">
        <v>45944</v>
      </c>
      <c r="B288" t="s">
        <v>8</v>
      </c>
      <c r="C288" t="s">
        <v>45</v>
      </c>
      <c r="D288" t="s">
        <v>46</v>
      </c>
      <c r="E288">
        <v>123</v>
      </c>
      <c r="F288" s="4">
        <v>96.32</v>
      </c>
      <c r="G288" s="4">
        <f>E288*F288</f>
      </c>
      <c r="H288" s="6">
        <v>0.36</v>
      </c>
    </row>
    <row r="289">
      <c r="A289" s="5">
        <v>45945</v>
      </c>
      <c r="B289" t="s">
        <v>11</v>
      </c>
      <c r="C289" t="s">
        <v>45</v>
      </c>
      <c r="D289" t="s">
        <v>44</v>
      </c>
      <c r="E289">
        <v>82</v>
      </c>
      <c r="F289" s="4">
        <v>20.79</v>
      </c>
      <c r="G289" s="4">
        <f>E289*F289</f>
      </c>
      <c r="H289" s="6">
        <v>0.115</v>
      </c>
    </row>
    <row r="290">
      <c r="A290" s="5">
        <v>45946</v>
      </c>
      <c r="B290" t="s">
        <v>11</v>
      </c>
      <c r="C290" t="s">
        <v>41</v>
      </c>
      <c r="D290" t="s">
        <v>48</v>
      </c>
      <c r="E290">
        <v>20</v>
      </c>
      <c r="F290" s="4">
        <v>60.78</v>
      </c>
      <c r="G290" s="4">
        <f>E290*F290</f>
      </c>
      <c r="H290" s="6">
        <v>0.327</v>
      </c>
    </row>
    <row r="291">
      <c r="A291" s="5">
        <v>45947</v>
      </c>
      <c r="B291" t="s">
        <v>10</v>
      </c>
      <c r="C291" t="s">
        <v>41</v>
      </c>
      <c r="D291" t="s">
        <v>46</v>
      </c>
      <c r="E291">
        <v>63</v>
      </c>
      <c r="F291" s="4">
        <v>57.14</v>
      </c>
      <c r="G291" s="4">
        <f>E291*F291</f>
      </c>
      <c r="H291" s="6">
        <v>0.36</v>
      </c>
    </row>
    <row r="292">
      <c r="A292" s="5">
        <v>45948</v>
      </c>
      <c r="B292" t="s">
        <v>9</v>
      </c>
      <c r="C292" t="s">
        <v>45</v>
      </c>
      <c r="D292" t="s">
        <v>48</v>
      </c>
      <c r="E292">
        <v>102</v>
      </c>
      <c r="F292" s="4">
        <v>96.04</v>
      </c>
      <c r="G292" s="4">
        <f>E292*F292</f>
      </c>
      <c r="H292" s="6">
        <v>0.369</v>
      </c>
    </row>
    <row r="293">
      <c r="A293" s="5">
        <v>45949</v>
      </c>
      <c r="B293" t="s">
        <v>9</v>
      </c>
      <c r="C293" t="s">
        <v>41</v>
      </c>
      <c r="D293" t="s">
        <v>46</v>
      </c>
      <c r="E293">
        <v>84</v>
      </c>
      <c r="F293" s="4">
        <v>54.12</v>
      </c>
      <c r="G293" s="4">
        <f>E293*F293</f>
      </c>
      <c r="H293" s="6">
        <v>0.294</v>
      </c>
    </row>
    <row r="294">
      <c r="A294" s="5">
        <v>45950</v>
      </c>
      <c r="B294" t="s">
        <v>11</v>
      </c>
      <c r="C294" t="s">
        <v>43</v>
      </c>
      <c r="D294" t="s">
        <v>44</v>
      </c>
      <c r="E294">
        <v>99</v>
      </c>
      <c r="F294" s="4">
        <v>30</v>
      </c>
      <c r="G294" s="4">
        <f>E294*F294</f>
      </c>
      <c r="H294" s="6">
        <v>0.214</v>
      </c>
    </row>
    <row r="295">
      <c r="A295" s="5">
        <v>45951</v>
      </c>
      <c r="B295" t="s">
        <v>11</v>
      </c>
      <c r="C295" t="s">
        <v>41</v>
      </c>
      <c r="D295" t="s">
        <v>46</v>
      </c>
      <c r="E295">
        <v>177</v>
      </c>
      <c r="F295" s="4">
        <v>68.5</v>
      </c>
      <c r="G295" s="4">
        <f>E295*F295</f>
      </c>
      <c r="H295" s="6">
        <v>0.349</v>
      </c>
    </row>
    <row r="296">
      <c r="A296" s="5">
        <v>45952</v>
      </c>
      <c r="B296" t="s">
        <v>9</v>
      </c>
      <c r="C296" t="s">
        <v>43</v>
      </c>
      <c r="D296" t="s">
        <v>42</v>
      </c>
      <c r="E296">
        <v>30</v>
      </c>
      <c r="F296" s="4">
        <v>13.94</v>
      </c>
      <c r="G296" s="4">
        <f>E296*F296</f>
      </c>
      <c r="H296" s="6">
        <v>0.323</v>
      </c>
    </row>
    <row r="297">
      <c r="A297" s="5">
        <v>45953</v>
      </c>
      <c r="B297" t="s">
        <v>10</v>
      </c>
      <c r="C297" t="s">
        <v>41</v>
      </c>
      <c r="D297" t="s">
        <v>42</v>
      </c>
      <c r="E297">
        <v>92</v>
      </c>
      <c r="F297" s="4">
        <v>85.07</v>
      </c>
      <c r="G297" s="4">
        <f>E297*F297</f>
      </c>
      <c r="H297" s="6">
        <v>0.409</v>
      </c>
    </row>
    <row r="298">
      <c r="A298" s="5">
        <v>45954</v>
      </c>
      <c r="B298" t="s">
        <v>10</v>
      </c>
      <c r="C298" t="s">
        <v>49</v>
      </c>
      <c r="D298" t="s">
        <v>46</v>
      </c>
      <c r="E298">
        <v>125</v>
      </c>
      <c r="F298" s="4">
        <v>78.55</v>
      </c>
      <c r="G298" s="4">
        <f>E298*F298</f>
      </c>
      <c r="H298" s="6">
        <v>0.296</v>
      </c>
    </row>
    <row r="299">
      <c r="A299" s="5">
        <v>45955</v>
      </c>
      <c r="B299" t="s">
        <v>8</v>
      </c>
      <c r="C299" t="s">
        <v>53</v>
      </c>
      <c r="D299" t="s">
        <v>52</v>
      </c>
      <c r="E299">
        <v>16</v>
      </c>
      <c r="F299" s="4">
        <v>33.35</v>
      </c>
      <c r="G299" s="4">
        <f>E299*F299</f>
      </c>
      <c r="H299" s="6">
        <v>0.087</v>
      </c>
    </row>
    <row r="300">
      <c r="A300" s="5">
        <v>45956</v>
      </c>
      <c r="B300" t="s">
        <v>10</v>
      </c>
      <c r="C300" t="s">
        <v>45</v>
      </c>
      <c r="D300" t="s">
        <v>44</v>
      </c>
      <c r="E300">
        <v>28</v>
      </c>
      <c r="F300" s="4">
        <v>77.03</v>
      </c>
      <c r="G300" s="4">
        <f>E300*F300</f>
      </c>
      <c r="H300" s="6">
        <v>0.364</v>
      </c>
    </row>
    <row r="301">
      <c r="A301" s="5">
        <v>45957</v>
      </c>
      <c r="B301" t="s">
        <v>8</v>
      </c>
      <c r="C301" t="s">
        <v>47</v>
      </c>
      <c r="D301" t="s">
        <v>44</v>
      </c>
      <c r="E301">
        <v>22</v>
      </c>
      <c r="F301" s="4">
        <v>70.55</v>
      </c>
      <c r="G301" s="4">
        <f>E301*F301</f>
      </c>
      <c r="H301" s="6">
        <v>0.387</v>
      </c>
    </row>
  </sheetData>
</worksheet>
</file>